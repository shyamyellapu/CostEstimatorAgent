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hatia\Desktop\CostEstimatorAgent\ReferenceFiles\"/>
    </mc:Choice>
  </mc:AlternateContent>
  <xr:revisionPtr revIDLastSave="0" documentId="13_ncr:1_{EF000AEB-4B76-407E-9453-FD2B585BE857}" xr6:coauthVersionLast="47" xr6:coauthVersionMax="47" xr10:uidLastSave="{00000000-0000-0000-0000-000000000000}"/>
  <bookViews>
    <workbookView xWindow="1425" yWindow="1425" windowWidth="21600" windowHeight="11295" xr2:uid="{00000000-000D-0000-FFFF-FFFF00000000}"/>
  </bookViews>
  <sheets>
    <sheet name="142676- Structure Frame" sheetId="2" r:id="rId1"/>
  </sheets>
  <definedNames>
    <definedName name="_xlnm.Print_Area" localSheetId="0">'142676- Structure Frame'!$A$1:$R$58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K31" i="2"/>
  <c r="K30" i="2"/>
  <c r="K29" i="2"/>
  <c r="K41" i="2"/>
  <c r="K40" i="2"/>
  <c r="K39" i="2"/>
  <c r="K38" i="2"/>
  <c r="K37" i="2"/>
  <c r="K36" i="2"/>
  <c r="K35" i="2"/>
  <c r="K34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44" i="2"/>
  <c r="K43" i="2"/>
  <c r="K42" i="2"/>
  <c r="K54" i="2"/>
  <c r="K53" i="2"/>
  <c r="K52" i="2"/>
  <c r="K51" i="2"/>
  <c r="K50" i="2"/>
  <c r="K48" i="2"/>
  <c r="K47" i="2"/>
  <c r="K46" i="2"/>
  <c r="K45" i="2"/>
  <c r="K49" i="2"/>
  <c r="J33" i="2" l="1"/>
  <c r="K33" i="2" s="1"/>
  <c r="D55" i="2" s="1"/>
  <c r="S31" i="2"/>
  <c r="S30" i="2"/>
  <c r="S29" i="2"/>
  <c r="S39" i="2" l="1"/>
  <c r="S40" i="2"/>
  <c r="B62" i="2"/>
  <c r="S54" i="2" l="1"/>
  <c r="D56" i="2" s="1"/>
  <c r="D57" i="2" s="1"/>
  <c r="D59" i="2" s="1"/>
  <c r="F61" i="2" s="1"/>
</calcChain>
</file>

<file path=xl/sharedStrings.xml><?xml version="1.0" encoding="utf-8"?>
<sst xmlns="http://schemas.openxmlformats.org/spreadsheetml/2006/main" count="130" uniqueCount="90">
  <si>
    <t>C&amp;J GULF EQUIPMENT MANUFACTURING L.L.C</t>
  </si>
  <si>
    <t xml:space="preserve"> Job Costing Sheet</t>
  </si>
  <si>
    <t>CUSTOMER NAME</t>
  </si>
  <si>
    <t>DATE</t>
  </si>
  <si>
    <t>ENQUIRY No</t>
  </si>
  <si>
    <t>CUSTOMER CODE</t>
  </si>
  <si>
    <t>ATTENTION OF</t>
  </si>
  <si>
    <t>JOB NO.</t>
  </si>
  <si>
    <t>EMAIL</t>
  </si>
  <si>
    <t>CONTACT NO:</t>
  </si>
  <si>
    <t>JORL DATE:</t>
  </si>
  <si>
    <t>PROJECT PACKAGE DETAILS</t>
  </si>
  <si>
    <t>MODULE WORK</t>
  </si>
  <si>
    <t>CUSTOMER P.O. Ref :</t>
  </si>
  <si>
    <t xml:space="preserve"> SALES EMPOLOYEE CODE</t>
  </si>
  <si>
    <t>NETSUITE INVOICE NO:</t>
  </si>
  <si>
    <t>NETSUITE AGEING REPORT:</t>
  </si>
  <si>
    <t>PENDING PAYMENT</t>
  </si>
  <si>
    <t>COST AT OFFER ACCEPTANCE AS PER ESTIMATION</t>
  </si>
  <si>
    <t>ACTUAL MANUFACTURING COST</t>
  </si>
  <si>
    <t>Sr No</t>
  </si>
  <si>
    <t>Item Description</t>
  </si>
  <si>
    <t>Qty</t>
  </si>
  <si>
    <t>Unit</t>
  </si>
  <si>
    <t>Manhours</t>
  </si>
  <si>
    <t>Unit cost</t>
  </si>
  <si>
    <t>Total cost</t>
  </si>
  <si>
    <t xml:space="preserve">Remarks </t>
  </si>
  <si>
    <t>Remarks</t>
  </si>
  <si>
    <t>Structural Work</t>
  </si>
  <si>
    <t>Design, Drafting &amp; Drawing Charges</t>
  </si>
  <si>
    <t>lot</t>
  </si>
  <si>
    <t>Gaps in customer design</t>
  </si>
  <si>
    <t>BOM/BOQ Preparation</t>
  </si>
  <si>
    <t>Changes in BOM due to Design change</t>
  </si>
  <si>
    <t>Technical recommendations to customer</t>
  </si>
  <si>
    <t>Gaps in our estimation</t>
  </si>
  <si>
    <t xml:space="preserve">Material Cost </t>
  </si>
  <si>
    <t>Pipe 3'' Pipe Sch 40 thk 105 mm  Lg.</t>
  </si>
  <si>
    <t xml:space="preserve">Structural Steel Material </t>
  </si>
  <si>
    <t>Kg</t>
  </si>
  <si>
    <t>Paint Material</t>
  </si>
  <si>
    <t>litres</t>
  </si>
  <si>
    <t>Material Inspection Charges</t>
  </si>
  <si>
    <t>Labour &amp; Fabrication Cost</t>
  </si>
  <si>
    <t>Machining 8 labour hours per day for 4 days</t>
  </si>
  <si>
    <t>Consumables</t>
  </si>
  <si>
    <t>Subcontractor Costing</t>
  </si>
  <si>
    <t>Machining &amp; Threading</t>
  </si>
  <si>
    <t>Pcs</t>
  </si>
  <si>
    <t>Testing &amp; Quality Control</t>
  </si>
  <si>
    <t>Surface Preparation &amp; Coating</t>
  </si>
  <si>
    <t>Galvanizing Work</t>
  </si>
  <si>
    <t>Blasting (13.3 Sq M per hour)</t>
  </si>
  <si>
    <t>SQM</t>
  </si>
  <si>
    <t>Painting(6.65 Sq M per hour for 2 coat paint system)</t>
  </si>
  <si>
    <t>Third-Party Inspection (TPI)</t>
  </si>
  <si>
    <t>QA/QC Documentation &amp; Certification</t>
  </si>
  <si>
    <t>Packing and loading</t>
  </si>
  <si>
    <t>Lot</t>
  </si>
  <si>
    <t>Insurance</t>
  </si>
  <si>
    <t>Permits, Licenses &amp; Regulatory Fees</t>
  </si>
  <si>
    <t>Nos</t>
  </si>
  <si>
    <t>Equipment Rental &amp; Maintenance</t>
  </si>
  <si>
    <t>Contingency Fund</t>
  </si>
  <si>
    <t>Taxes &amp; Duties</t>
  </si>
  <si>
    <t>Warranty &amp; Guarantee Costs</t>
  </si>
  <si>
    <t>Project Management Fees</t>
  </si>
  <si>
    <t>Environmental Compliance Costs</t>
  </si>
  <si>
    <t>Training &amp; Certification</t>
  </si>
  <si>
    <t>Marketing &amp; Sales Costs</t>
  </si>
  <si>
    <t>ESTIMATION
 ENGR.</t>
  </si>
  <si>
    <t>Sachin Ahire</t>
  </si>
  <si>
    <t>PLANNING
 ENGR.</t>
  </si>
  <si>
    <t xml:space="preserve">19.Overheads </t>
  </si>
  <si>
    <t>MANAGER:</t>
  </si>
  <si>
    <t>Subash Valrani</t>
  </si>
  <si>
    <t>GRAND TOTAL</t>
  </si>
  <si>
    <t>ACCOUNTANT:</t>
  </si>
  <si>
    <t>Zeeshan</t>
  </si>
  <si>
    <t>Selling Price</t>
  </si>
  <si>
    <t>Net Profit</t>
  </si>
  <si>
    <t>Inch Dia</t>
  </si>
  <si>
    <t>Visits</t>
  </si>
  <si>
    <t>10% MPI/DPT</t>
  </si>
  <si>
    <t xml:space="preserve">Hydrotesting </t>
  </si>
  <si>
    <t>M20X90 Long Bolts HEX HD &amp; Nut to BS 4190 Gr.8.8</t>
  </si>
  <si>
    <t>Structural Welding considering 16 labor hours per day for 10  Days</t>
  </si>
  <si>
    <t>Structuralt Fabrication considering 32 labor hours per day for 10 Days</t>
  </si>
  <si>
    <t xml:space="preserve">REF NO: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</si>
</sst>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(* #,##0.00_);_(* \(#,##0.00\);_(* &quot;-&quot;??_);_(@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Arial"/>
      <family val="2"/>
    </font>
    <font>
      <sz val="9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sz val="9"/>
      <color theme="1"/>
      <name val="Arial"/>
      <family val="2"/>
    </font>
    <font>
      <sz val="8"/>
      <color theme="0" tint="-0.34998626667073579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name val="Tahoma"/>
      <family val="2"/>
    </font>
    <font>
      <b/>
      <sz val="10"/>
      <color theme="1"/>
      <name val="Tahoma"/>
      <family val="2"/>
    </font>
    <font>
      <b/>
      <u/>
      <sz val="10"/>
      <color theme="1"/>
      <name val="Tahoma"/>
      <family val="2"/>
    </font>
    <font>
      <sz val="10"/>
      <color theme="1"/>
      <name val="Tahoma"/>
      <family val="2"/>
    </font>
    <font>
      <sz val="12"/>
      <color theme="1"/>
      <name val="Times New Roman"/>
      <family val="1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EBEB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1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164" fontId="0" fillId="0" borderId="0" xfId="1" applyFont="1"/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5" fillId="0" borderId="18" xfId="0" applyFont="1" applyBorder="1" applyAlignment="1">
      <alignment vertical="center" wrapText="1"/>
    </xf>
    <xf numFmtId="0" fontId="15" fillId="0" borderId="6" xfId="0" applyFont="1" applyBorder="1" applyAlignment="1">
      <alignment horizontal="center" vertical="center" wrapText="1"/>
    </xf>
    <xf numFmtId="0" fontId="17" fillId="0" borderId="18" xfId="4" applyFont="1" applyBorder="1" applyAlignment="1">
      <alignment horizontal="center"/>
    </xf>
    <xf numFmtId="0" fontId="18" fillId="3" borderId="19" xfId="4" applyFont="1" applyFill="1" applyBorder="1" applyAlignment="1">
      <alignment horizontal="center" vertical="center"/>
    </xf>
    <xf numFmtId="164" fontId="20" fillId="3" borderId="22" xfId="6" applyFont="1" applyFill="1" applyBorder="1" applyAlignment="1">
      <alignment horizontal="left" vertical="center"/>
    </xf>
    <xf numFmtId="0" fontId="20" fillId="3" borderId="23" xfId="4" applyFont="1" applyFill="1" applyBorder="1" applyAlignment="1">
      <alignment horizontal="center" vertical="center"/>
    </xf>
    <xf numFmtId="4" fontId="20" fillId="3" borderId="23" xfId="4" applyNumberFormat="1" applyFont="1" applyFill="1" applyBorder="1" applyAlignment="1">
      <alignment horizontal="right" vertical="center"/>
    </xf>
    <xf numFmtId="4" fontId="20" fillId="3" borderId="23" xfId="4" applyNumberFormat="1" applyFont="1" applyFill="1" applyBorder="1" applyAlignment="1">
      <alignment vertical="center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9" fillId="3" borderId="29" xfId="5" applyFont="1" applyFill="1" applyBorder="1" applyAlignment="1">
      <alignment horizontal="left" vertical="center" wrapText="1"/>
    </xf>
    <xf numFmtId="0" fontId="19" fillId="3" borderId="30" xfId="5" applyFont="1" applyFill="1" applyBorder="1" applyAlignment="1">
      <alignment horizontal="left" vertical="center" wrapText="1"/>
    </xf>
    <xf numFmtId="164" fontId="20" fillId="3" borderId="31" xfId="6" applyFont="1" applyFill="1" applyBorder="1" applyAlignment="1">
      <alignment horizontal="left" vertical="center"/>
    </xf>
    <xf numFmtId="0" fontId="20" fillId="3" borderId="26" xfId="4" applyFont="1" applyFill="1" applyBorder="1" applyAlignment="1">
      <alignment horizontal="center" vertical="center"/>
    </xf>
    <xf numFmtId="4" fontId="20" fillId="3" borderId="26" xfId="4" applyNumberFormat="1" applyFont="1" applyFill="1" applyBorder="1" applyAlignment="1">
      <alignment horizontal="right" vertical="center"/>
    </xf>
    <xf numFmtId="4" fontId="20" fillId="0" borderId="26" xfId="4" applyNumberFormat="1" applyFont="1" applyBorder="1" applyAlignment="1">
      <alignment vertical="center"/>
    </xf>
    <xf numFmtId="0" fontId="11" fillId="0" borderId="32" xfId="0" applyFont="1" applyBorder="1" applyAlignment="1">
      <alignment horizontal="center" vertical="center" wrapText="1"/>
    </xf>
    <xf numFmtId="0" fontId="20" fillId="3" borderId="29" xfId="4" applyFont="1" applyFill="1" applyBorder="1" applyAlignment="1">
      <alignment horizontal="center" vertical="center"/>
    </xf>
    <xf numFmtId="0" fontId="20" fillId="3" borderId="19" xfId="4" applyFont="1" applyFill="1" applyBorder="1" applyAlignment="1">
      <alignment horizontal="center" vertical="center"/>
    </xf>
    <xf numFmtId="164" fontId="11" fillId="0" borderId="25" xfId="0" applyNumberFormat="1" applyFont="1" applyBorder="1" applyAlignment="1">
      <alignment horizontal="center" vertical="center" wrapText="1"/>
    </xf>
    <xf numFmtId="4" fontId="20" fillId="0" borderId="26" xfId="4" applyNumberFormat="1" applyFont="1" applyBorder="1" applyAlignment="1">
      <alignment horizontal="right" vertical="center"/>
    </xf>
    <xf numFmtId="0" fontId="18" fillId="3" borderId="29" xfId="5" applyFont="1" applyFill="1" applyBorder="1" applyAlignment="1">
      <alignment horizontal="left" vertical="center" wrapText="1"/>
    </xf>
    <xf numFmtId="0" fontId="18" fillId="3" borderId="30" xfId="5" applyFont="1" applyFill="1" applyBorder="1" applyAlignment="1">
      <alignment horizontal="left" vertical="center" wrapText="1"/>
    </xf>
    <xf numFmtId="164" fontId="20" fillId="0" borderId="31" xfId="6" applyFont="1" applyFill="1" applyBorder="1" applyAlignment="1">
      <alignment horizontal="left" vertical="center"/>
    </xf>
    <xf numFmtId="0" fontId="20" fillId="0" borderId="26" xfId="4" applyFont="1" applyBorder="1" applyAlignment="1">
      <alignment horizontal="center" vertical="center"/>
    </xf>
    <xf numFmtId="164" fontId="0" fillId="0" borderId="0" xfId="0" applyNumberFormat="1"/>
    <xf numFmtId="2" fontId="20" fillId="0" borderId="26" xfId="1" applyNumberFormat="1" applyFont="1" applyFill="1" applyBorder="1" applyAlignment="1">
      <alignment horizontal="center" vertical="center"/>
    </xf>
    <xf numFmtId="4" fontId="20" fillId="3" borderId="33" xfId="4" applyNumberFormat="1" applyFont="1" applyFill="1" applyBorder="1" applyAlignment="1">
      <alignment horizontal="right" vertical="center"/>
    </xf>
    <xf numFmtId="4" fontId="20" fillId="0" borderId="33" xfId="4" applyNumberFormat="1" applyFont="1" applyBorder="1" applyAlignment="1">
      <alignment vertical="center"/>
    </xf>
    <xf numFmtId="0" fontId="11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0" borderId="0" xfId="0" applyFont="1"/>
    <xf numFmtId="0" fontId="21" fillId="0" borderId="0" xfId="0" applyFont="1" applyAlignment="1">
      <alignment vertical="center"/>
    </xf>
    <xf numFmtId="164" fontId="22" fillId="0" borderId="0" xfId="0" applyNumberFormat="1" applyFont="1"/>
    <xf numFmtId="0" fontId="6" fillId="0" borderId="0" xfId="0" applyFont="1"/>
    <xf numFmtId="43" fontId="20" fillId="3" borderId="26" xfId="4" applyNumberFormat="1" applyFont="1" applyFill="1" applyBorder="1" applyAlignment="1">
      <alignment horizontal="center" vertical="center"/>
    </xf>
    <xf numFmtId="9" fontId="0" fillId="0" borderId="0" xfId="2" applyFont="1"/>
    <xf numFmtId="2" fontId="20" fillId="3" borderId="19" xfId="4" applyNumberFormat="1" applyFont="1" applyFill="1" applyBorder="1" applyAlignment="1">
      <alignment horizontal="center" vertical="center"/>
    </xf>
    <xf numFmtId="164" fontId="20" fillId="3" borderId="25" xfId="6" applyFont="1" applyFill="1" applyBorder="1" applyAlignment="1">
      <alignment horizontal="left" vertical="center"/>
    </xf>
    <xf numFmtId="0" fontId="7" fillId="0" borderId="6" xfId="0" applyFont="1" applyBorder="1" applyAlignment="1">
      <alignment horizontal="center" vertical="center" wrapText="1"/>
    </xf>
    <xf numFmtId="0" fontId="19" fillId="3" borderId="19" xfId="5" applyFont="1" applyFill="1" applyBorder="1" applyAlignment="1">
      <alignment horizontal="left" vertical="center" wrapText="1"/>
    </xf>
    <xf numFmtId="0" fontId="19" fillId="3" borderId="35" xfId="5" applyFont="1" applyFill="1" applyBorder="1" applyAlignment="1">
      <alignment horizontal="left" vertical="center" wrapText="1"/>
    </xf>
    <xf numFmtId="0" fontId="19" fillId="3" borderId="40" xfId="5" applyFont="1" applyFill="1" applyBorder="1" applyAlignment="1">
      <alignment horizontal="left" vertical="center" wrapText="1"/>
    </xf>
    <xf numFmtId="4" fontId="20" fillId="0" borderId="13" xfId="4" applyNumberFormat="1" applyFont="1" applyBorder="1" applyAlignment="1">
      <alignment vertical="center"/>
    </xf>
    <xf numFmtId="4" fontId="20" fillId="0" borderId="0" xfId="4" applyNumberFormat="1" applyFont="1" applyAlignment="1">
      <alignment vertical="center"/>
    </xf>
    <xf numFmtId="164" fontId="0" fillId="0" borderId="0" xfId="1" applyFont="1" applyBorder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14" fontId="7" fillId="0" borderId="4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3" fillId="0" borderId="4" xfId="3" applyBorder="1" applyAlignment="1">
      <alignment horizontal="center" vertical="center" wrapText="1"/>
    </xf>
    <xf numFmtId="0" fontId="3" fillId="0" borderId="6" xfId="3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1" fontId="7" fillId="0" borderId="1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1" fontId="7" fillId="0" borderId="3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7" fillId="0" borderId="5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3" fontId="13" fillId="0" borderId="4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2" fillId="0" borderId="15" xfId="0" applyFont="1" applyBorder="1" applyAlignment="1">
      <alignment horizontal="left" vertical="center" wrapText="1"/>
    </xf>
    <xf numFmtId="0" fontId="12" fillId="0" borderId="16" xfId="0" applyFont="1" applyBorder="1" applyAlignment="1">
      <alignment horizontal="left" vertical="center" wrapText="1"/>
    </xf>
    <xf numFmtId="0" fontId="12" fillId="0" borderId="17" xfId="0" applyFont="1" applyBorder="1" applyAlignment="1">
      <alignment horizontal="left" vertical="center" wrapText="1"/>
    </xf>
    <xf numFmtId="0" fontId="19" fillId="3" borderId="29" xfId="5" applyFont="1" applyFill="1" applyBorder="1" applyAlignment="1">
      <alignment horizontal="left" vertical="center" wrapText="1"/>
    </xf>
    <xf numFmtId="0" fontId="19" fillId="3" borderId="30" xfId="5" applyFont="1" applyFill="1" applyBorder="1" applyAlignment="1">
      <alignment horizontal="left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9" fillId="4" borderId="20" xfId="5" applyFont="1" applyFill="1" applyBorder="1" applyAlignment="1">
      <alignment horizontal="left" vertical="center" wrapText="1"/>
    </xf>
    <xf numFmtId="0" fontId="19" fillId="4" borderId="21" xfId="5" applyFont="1" applyFill="1" applyBorder="1" applyAlignment="1">
      <alignment horizontal="left" vertical="center" wrapText="1"/>
    </xf>
    <xf numFmtId="0" fontId="19" fillId="3" borderId="20" xfId="5" applyFont="1" applyFill="1" applyBorder="1" applyAlignment="1">
      <alignment horizontal="left" vertical="center" wrapText="1"/>
    </xf>
    <xf numFmtId="0" fontId="19" fillId="3" borderId="21" xfId="5" applyFont="1" applyFill="1" applyBorder="1" applyAlignment="1">
      <alignment horizontal="left" vertical="center" wrapText="1"/>
    </xf>
    <xf numFmtId="0" fontId="19" fillId="3" borderId="39" xfId="5" applyFont="1" applyFill="1" applyBorder="1" applyAlignment="1">
      <alignment horizontal="left" vertical="center" wrapText="1"/>
    </xf>
    <xf numFmtId="0" fontId="20" fillId="3" borderId="31" xfId="5" applyFont="1" applyFill="1" applyBorder="1" applyAlignment="1">
      <alignment horizontal="left" vertical="center" wrapText="1"/>
    </xf>
    <xf numFmtId="0" fontId="20" fillId="3" borderId="26" xfId="5" applyFont="1" applyFill="1" applyBorder="1" applyAlignment="1">
      <alignment horizontal="left" vertical="center" wrapText="1"/>
    </xf>
    <xf numFmtId="0" fontId="20" fillId="3" borderId="32" xfId="5" applyFont="1" applyFill="1" applyBorder="1" applyAlignment="1">
      <alignment horizontal="left" vertical="center" wrapText="1"/>
    </xf>
    <xf numFmtId="0" fontId="20" fillId="3" borderId="36" xfId="5" applyFont="1" applyFill="1" applyBorder="1" applyAlignment="1">
      <alignment horizontal="left" vertical="center" wrapText="1"/>
    </xf>
    <xf numFmtId="0" fontId="20" fillId="3" borderId="37" xfId="5" applyFont="1" applyFill="1" applyBorder="1" applyAlignment="1">
      <alignment horizontal="left" vertical="center" wrapText="1"/>
    </xf>
    <xf numFmtId="0" fontId="20" fillId="3" borderId="38" xfId="5" applyFont="1" applyFill="1" applyBorder="1" applyAlignment="1">
      <alignment horizontal="left" vertical="center" wrapText="1"/>
    </xf>
    <xf numFmtId="0" fontId="20" fillId="3" borderId="29" xfId="5" applyFont="1" applyFill="1" applyBorder="1" applyAlignment="1">
      <alignment horizontal="left" vertical="center" wrapText="1"/>
    </xf>
    <xf numFmtId="0" fontId="20" fillId="3" borderId="30" xfId="5" applyFont="1" applyFill="1" applyBorder="1" applyAlignment="1">
      <alignment horizontal="left" vertical="center" wrapText="1"/>
    </xf>
    <xf numFmtId="0" fontId="20" fillId="3" borderId="28" xfId="5" applyFont="1" applyFill="1" applyBorder="1" applyAlignment="1">
      <alignment horizontal="left" vertical="center" wrapText="1"/>
    </xf>
    <xf numFmtId="0" fontId="19" fillId="3" borderId="28" xfId="5" applyFont="1" applyFill="1" applyBorder="1" applyAlignment="1">
      <alignment horizontal="left" vertical="center" wrapText="1"/>
    </xf>
    <xf numFmtId="0" fontId="20" fillId="3" borderId="19" xfId="5" applyFont="1" applyFill="1" applyBorder="1" applyAlignment="1">
      <alignment horizontal="left" vertical="center" wrapText="1"/>
    </xf>
    <xf numFmtId="0" fontId="20" fillId="3" borderId="35" xfId="5" applyFont="1" applyFill="1" applyBorder="1" applyAlignment="1">
      <alignment horizontal="left" vertical="center" wrapText="1"/>
    </xf>
    <xf numFmtId="0" fontId="20" fillId="3" borderId="29" xfId="5" applyFont="1" applyFill="1" applyBorder="1" applyAlignment="1">
      <alignment vertical="center" wrapText="1"/>
    </xf>
    <xf numFmtId="0" fontId="20" fillId="3" borderId="30" xfId="5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64" fontId="6" fillId="4" borderId="4" xfId="1" applyFont="1" applyFill="1" applyBorder="1" applyAlignment="1">
      <alignment horizontal="center" vertical="center" wrapText="1"/>
    </xf>
    <xf numFmtId="164" fontId="6" fillId="4" borderId="5" xfId="1" applyFont="1" applyFill="1" applyBorder="1" applyAlignment="1">
      <alignment horizontal="center" vertical="center" wrapText="1"/>
    </xf>
    <xf numFmtId="164" fontId="6" fillId="4" borderId="6" xfId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64" fontId="6" fillId="4" borderId="1" xfId="1" applyFont="1" applyFill="1" applyBorder="1" applyAlignment="1">
      <alignment horizontal="center" vertical="center" wrapText="1"/>
    </xf>
    <xf numFmtId="164" fontId="6" fillId="4" borderId="2" xfId="1" applyFont="1" applyFill="1" applyBorder="1" applyAlignment="1">
      <alignment horizontal="center" vertical="center" wrapText="1"/>
    </xf>
    <xf numFmtId="164" fontId="6" fillId="4" borderId="3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164" fontId="6" fillId="4" borderId="7" xfId="1" applyFont="1" applyFill="1" applyBorder="1" applyAlignment="1">
      <alignment horizontal="center" vertical="center" wrapText="1"/>
    </xf>
    <xf numFmtId="164" fontId="6" fillId="4" borderId="8" xfId="1" applyFont="1" applyFill="1" applyBorder="1" applyAlignment="1">
      <alignment horizontal="center" vertical="center" wrapText="1"/>
    </xf>
    <xf numFmtId="164" fontId="6" fillId="4" borderId="9" xfId="1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</cellXfs>
  <cellStyles count="7">
    <cellStyle name="Comma" xfId="1" builtinId="3"/>
    <cellStyle name="Comma 2" xfId="6" xr:uid="{00000000-0005-0000-0000-000001000000}"/>
    <cellStyle name="Hyperlink" xfId="3" builtinId="8"/>
    <cellStyle name="Normal" xfId="0" builtinId="0"/>
    <cellStyle name="Normal 2" xfId="4" xr:uid="{00000000-0005-0000-0000-000004000000}"/>
    <cellStyle name="Normal 3" xfId="5" xr:uid="{00000000-0005-0000-0000-000005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385763</xdr:colOff>
      <xdr:row>0</xdr:row>
      <xdr:rowOff>83344</xdr:rowOff>
    </xdr:from>
    <xdr:to>
      <xdr:col>1</xdr:col>
      <xdr:colOff>809625</xdr:colOff>
      <xdr:row>0</xdr:row>
      <xdr:rowOff>631032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6CB3B0-52D4-4BFB-B1AD-6FEC0F208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 bwMode="auto">
        <a:xfrm>
          <a:off x="385763" y="83344"/>
          <a:ext cx="1033462" cy="54768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71"/>
  <sheetViews>
    <sheetView tabSelected="1" zoomScale="85" zoomScaleNormal="85" workbookViewId="0">
      <selection activeCell="J48" sqref="J48"/>
    </sheetView>
  </sheetViews>
  <sheetFormatPr defaultRowHeight="15" x14ac:dyDescent="0.25"/>
  <cols>
    <col min="2" max="2" width="16.5703125" customWidth="1"/>
    <col min="3" max="3" width="16.85546875" customWidth="1"/>
    <col min="4" max="4" width="17.28515625" customWidth="1"/>
    <col min="5" max="5" width="12" customWidth="1"/>
    <col min="6" max="6" width="8.7109375" customWidth="1"/>
    <col min="7" max="7" width="11.5703125" bestFit="1" customWidth="1"/>
    <col min="8" max="8" width="9.5703125" customWidth="1"/>
    <col min="9" max="9" width="12.140625" bestFit="1" customWidth="1"/>
    <col min="10" max="10" width="12.42578125" customWidth="1"/>
    <col min="11" max="11" width="13" bestFit="1" customWidth="1"/>
    <col min="12" max="12" width="11.85546875" customWidth="1"/>
    <col min="13" max="13" width="21" customWidth="1"/>
    <col min="14" max="14" width="10.28515625" customWidth="1"/>
    <col min="15" max="15" width="9.28515625" customWidth="1"/>
    <col min="16" max="16" width="10.28515625" customWidth="1"/>
    <col min="17" max="17" width="8.28515625" customWidth="1"/>
    <col min="18" max="18" width="6.140625" customWidth="1"/>
    <col min="19" max="19" width="11.140625" style="1" bestFit="1" customWidth="1"/>
  </cols>
  <sheetData>
    <row r="1" spans="1:19" ht="52.5" customHeight="1" thickBot="1" x14ac:dyDescent="0.35">
      <c r="A1" s="59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1"/>
    </row>
    <row r="2" spans="1:19" ht="27" customHeight="1" thickBot="1" x14ac:dyDescent="0.35">
      <c r="A2" s="2"/>
      <c r="B2" s="3"/>
      <c r="C2" s="3"/>
      <c r="D2" s="3"/>
      <c r="E2" s="62" t="s">
        <v>1</v>
      </c>
      <c r="F2" s="62"/>
      <c r="G2" s="62"/>
      <c r="H2" s="62"/>
      <c r="I2" s="62"/>
      <c r="J2" s="62"/>
      <c r="K2" s="62"/>
      <c r="L2" s="62"/>
      <c r="M2" s="62"/>
      <c r="N2" s="3"/>
      <c r="O2" s="3"/>
      <c r="P2" s="3"/>
      <c r="Q2" s="3"/>
      <c r="R2" s="4"/>
    </row>
    <row r="3" spans="1:19" ht="15.75" thickBot="1" x14ac:dyDescent="0.3">
      <c r="A3" s="63" t="s">
        <v>89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5"/>
    </row>
    <row r="4" spans="1:19" ht="21" customHeight="1" thickBot="1" x14ac:dyDescent="0.3">
      <c r="A4" s="66" t="s">
        <v>2</v>
      </c>
      <c r="B4" s="67"/>
      <c r="C4" s="68"/>
      <c r="D4" s="69"/>
      <c r="E4" s="70" t="s">
        <v>3</v>
      </c>
      <c r="F4" s="71"/>
      <c r="G4" s="72"/>
      <c r="H4" s="69"/>
      <c r="I4" s="69"/>
      <c r="J4" s="69"/>
      <c r="K4" s="69"/>
      <c r="L4" s="73"/>
      <c r="M4" s="70" t="s">
        <v>4</v>
      </c>
      <c r="N4" s="70"/>
      <c r="O4" s="68"/>
      <c r="P4" s="69"/>
      <c r="Q4" s="69"/>
      <c r="R4" s="73"/>
    </row>
    <row r="5" spans="1:19" ht="20.45" customHeight="1" thickBot="1" x14ac:dyDescent="0.3">
      <c r="A5" s="66" t="s">
        <v>5</v>
      </c>
      <c r="B5" s="85"/>
      <c r="C5" s="86"/>
      <c r="D5" s="87"/>
      <c r="E5" s="78" t="s">
        <v>6</v>
      </c>
      <c r="F5" s="71"/>
      <c r="G5" s="68"/>
      <c r="H5" s="69"/>
      <c r="I5" s="69"/>
      <c r="J5" s="69"/>
      <c r="K5" s="69"/>
      <c r="L5" s="73"/>
      <c r="M5" s="70" t="s">
        <v>7</v>
      </c>
      <c r="N5" s="70"/>
      <c r="O5" s="88"/>
      <c r="P5" s="89"/>
      <c r="Q5" s="89"/>
      <c r="R5" s="90"/>
    </row>
    <row r="6" spans="1:19" ht="19.149999999999999" customHeight="1" thickBot="1" x14ac:dyDescent="0.3">
      <c r="A6" s="74" t="s">
        <v>8</v>
      </c>
      <c r="B6" s="75"/>
      <c r="C6" s="76"/>
      <c r="D6" s="77"/>
      <c r="E6" s="78" t="s">
        <v>9</v>
      </c>
      <c r="F6" s="71"/>
      <c r="G6" s="79"/>
      <c r="H6" s="80"/>
      <c r="I6" s="80"/>
      <c r="J6" s="80"/>
      <c r="K6" s="80"/>
      <c r="L6" s="81"/>
      <c r="M6" s="70" t="s">
        <v>10</v>
      </c>
      <c r="N6" s="70"/>
      <c r="O6" s="82"/>
      <c r="P6" s="83"/>
      <c r="Q6" s="83"/>
      <c r="R6" s="84"/>
    </row>
    <row r="7" spans="1:19" ht="24" customHeight="1" thickBot="1" x14ac:dyDescent="0.3">
      <c r="A7" s="66" t="s">
        <v>11</v>
      </c>
      <c r="B7" s="85"/>
      <c r="C7" s="5"/>
      <c r="D7" s="6"/>
      <c r="E7" s="68" t="s">
        <v>12</v>
      </c>
      <c r="F7" s="73"/>
      <c r="G7" s="100"/>
      <c r="H7" s="101"/>
      <c r="I7" s="7"/>
      <c r="J7" s="102"/>
      <c r="K7" s="102"/>
      <c r="L7" s="101"/>
      <c r="M7" s="100"/>
      <c r="N7" s="103"/>
      <c r="O7" s="104"/>
      <c r="P7" s="102"/>
      <c r="Q7" s="69"/>
      <c r="R7" s="73"/>
    </row>
    <row r="8" spans="1:19" ht="15" customHeight="1" thickBot="1" x14ac:dyDescent="0.35">
      <c r="A8" s="91"/>
      <c r="B8" s="92"/>
      <c r="C8" s="92"/>
      <c r="D8" s="92"/>
      <c r="E8" s="93"/>
      <c r="F8" s="94"/>
      <c r="G8" s="91"/>
      <c r="H8" s="92"/>
      <c r="I8" s="92"/>
      <c r="J8" s="92"/>
      <c r="K8" s="92"/>
      <c r="L8" s="95"/>
      <c r="M8" s="96"/>
      <c r="N8" s="96"/>
      <c r="O8" s="97"/>
      <c r="P8" s="98"/>
      <c r="Q8" s="98"/>
      <c r="R8" s="99"/>
    </row>
    <row r="9" spans="1:19" ht="21" customHeight="1" thickBot="1" x14ac:dyDescent="0.35">
      <c r="A9" s="74" t="s">
        <v>13</v>
      </c>
      <c r="B9" s="75"/>
      <c r="C9" s="68"/>
      <c r="D9" s="73"/>
      <c r="E9" s="66"/>
      <c r="F9" s="67"/>
      <c r="G9" s="68"/>
      <c r="H9" s="69"/>
      <c r="I9" s="69"/>
      <c r="J9" s="69"/>
      <c r="K9" s="69"/>
      <c r="L9" s="73"/>
      <c r="M9" s="75"/>
      <c r="N9" s="75"/>
      <c r="O9" s="105"/>
      <c r="P9" s="106"/>
      <c r="Q9" s="106"/>
      <c r="R9" s="107"/>
    </row>
    <row r="10" spans="1:19" ht="24" customHeight="1" thickBot="1" x14ac:dyDescent="0.35">
      <c r="A10" s="66" t="s">
        <v>14</v>
      </c>
      <c r="B10" s="85"/>
      <c r="C10" s="68"/>
      <c r="D10" s="73"/>
      <c r="E10" s="66"/>
      <c r="F10" s="67"/>
      <c r="G10" s="68"/>
      <c r="H10" s="69"/>
      <c r="I10" s="69"/>
      <c r="J10" s="69"/>
      <c r="K10" s="69"/>
      <c r="L10" s="73"/>
      <c r="M10" s="85"/>
      <c r="N10" s="85"/>
      <c r="O10" s="105"/>
      <c r="P10" s="106"/>
      <c r="Q10" s="106"/>
      <c r="R10" s="107"/>
    </row>
    <row r="11" spans="1:19" ht="22.9" customHeight="1" thickBot="1" x14ac:dyDescent="0.35">
      <c r="A11" s="66" t="s">
        <v>15</v>
      </c>
      <c r="B11" s="85"/>
      <c r="C11" s="68"/>
      <c r="D11" s="73"/>
      <c r="E11" s="66" t="s">
        <v>16</v>
      </c>
      <c r="F11" s="67"/>
      <c r="G11" s="68"/>
      <c r="H11" s="69"/>
      <c r="I11" s="69"/>
      <c r="J11" s="69"/>
      <c r="K11" s="69"/>
      <c r="L11" s="73"/>
      <c r="M11" s="85"/>
      <c r="N11" s="85"/>
      <c r="O11" s="113"/>
      <c r="P11" s="114"/>
      <c r="Q11" s="114"/>
      <c r="R11" s="115"/>
    </row>
    <row r="12" spans="1:19" ht="22.15" customHeight="1" thickBot="1" x14ac:dyDescent="0.35">
      <c r="A12" s="66" t="s">
        <v>17</v>
      </c>
      <c r="B12" s="85"/>
      <c r="C12" s="108"/>
      <c r="D12" s="109"/>
      <c r="E12" s="66"/>
      <c r="F12" s="67"/>
      <c r="G12" s="68"/>
      <c r="H12" s="69"/>
      <c r="I12" s="69"/>
      <c r="J12" s="69"/>
      <c r="K12" s="69"/>
      <c r="L12" s="73"/>
      <c r="M12" s="85"/>
      <c r="N12" s="85"/>
      <c r="O12" s="110"/>
      <c r="P12" s="111"/>
      <c r="Q12" s="111"/>
      <c r="R12" s="112"/>
    </row>
    <row r="13" spans="1:19" ht="33" customHeight="1" thickBot="1" x14ac:dyDescent="0.35">
      <c r="A13" s="120"/>
      <c r="B13" s="121"/>
      <c r="C13" s="121"/>
      <c r="D13" s="121"/>
      <c r="E13" s="121"/>
      <c r="F13" s="122"/>
      <c r="G13" s="120" t="s">
        <v>18</v>
      </c>
      <c r="H13" s="121"/>
      <c r="I13" s="121"/>
      <c r="J13" s="121"/>
      <c r="K13" s="121"/>
      <c r="L13" s="122"/>
      <c r="M13" s="120" t="s">
        <v>19</v>
      </c>
      <c r="N13" s="121"/>
      <c r="O13" s="121"/>
      <c r="P13" s="121"/>
      <c r="Q13" s="121"/>
      <c r="R13" s="122"/>
    </row>
    <row r="14" spans="1:19" ht="24" customHeight="1" thickBot="1" x14ac:dyDescent="0.35">
      <c r="A14" s="8" t="s">
        <v>20</v>
      </c>
      <c r="B14" s="123" t="s">
        <v>21</v>
      </c>
      <c r="C14" s="124"/>
      <c r="D14" s="124"/>
      <c r="E14" s="124"/>
      <c r="F14" s="125"/>
      <c r="G14" s="10" t="s">
        <v>22</v>
      </c>
      <c r="H14" s="10" t="s">
        <v>23</v>
      </c>
      <c r="I14" s="10" t="s">
        <v>24</v>
      </c>
      <c r="J14" s="10" t="s">
        <v>25</v>
      </c>
      <c r="K14" s="10" t="s">
        <v>26</v>
      </c>
      <c r="L14" s="9" t="s">
        <v>27</v>
      </c>
      <c r="M14" s="10" t="s">
        <v>22</v>
      </c>
      <c r="N14" s="10" t="s">
        <v>23</v>
      </c>
      <c r="O14" s="10" t="s">
        <v>25</v>
      </c>
      <c r="P14" s="10" t="s">
        <v>26</v>
      </c>
      <c r="Q14" s="123" t="s">
        <v>28</v>
      </c>
      <c r="R14" s="125"/>
    </row>
    <row r="15" spans="1:19" ht="15" customHeight="1" x14ac:dyDescent="0.3">
      <c r="A15" s="11"/>
      <c r="B15" s="126" t="s">
        <v>29</v>
      </c>
      <c r="C15" s="127"/>
      <c r="D15" s="127"/>
      <c r="E15" s="127"/>
      <c r="F15" s="127"/>
      <c r="G15" s="12"/>
      <c r="H15" s="13"/>
      <c r="I15" s="13"/>
      <c r="J15" s="14"/>
      <c r="K15" s="15"/>
      <c r="L15" s="16"/>
      <c r="M15" s="17"/>
      <c r="N15" s="18"/>
      <c r="O15" s="18"/>
      <c r="P15" s="18"/>
      <c r="Q15" s="118"/>
      <c r="R15" s="119"/>
    </row>
    <row r="16" spans="1:19" ht="14.45" x14ac:dyDescent="0.3">
      <c r="A16" s="11">
        <v>1</v>
      </c>
      <c r="B16" s="116" t="s">
        <v>30</v>
      </c>
      <c r="C16" s="117"/>
      <c r="D16" s="117"/>
      <c r="E16" s="117"/>
      <c r="F16" s="117"/>
      <c r="G16" s="23"/>
      <c r="H16" s="24" t="s">
        <v>31</v>
      </c>
      <c r="I16" s="24"/>
      <c r="J16" s="25"/>
      <c r="K16" s="26">
        <f t="shared" ref="K16:K41" si="0">G16*J16</f>
        <v>0</v>
      </c>
      <c r="L16" s="27"/>
      <c r="M16" s="17"/>
      <c r="N16" s="18"/>
      <c r="O16" s="18"/>
      <c r="P16" s="18"/>
      <c r="Q16" s="118"/>
      <c r="R16" s="119"/>
      <c r="S16"/>
    </row>
    <row r="17" spans="1:19" ht="14.45" x14ac:dyDescent="0.3">
      <c r="A17" s="11">
        <v>1.1000000000000001</v>
      </c>
      <c r="B17" s="116" t="s">
        <v>32</v>
      </c>
      <c r="C17" s="117"/>
      <c r="D17" s="117"/>
      <c r="E17" s="117"/>
      <c r="F17" s="117"/>
      <c r="G17" s="23"/>
      <c r="H17" s="24" t="s">
        <v>31</v>
      </c>
      <c r="I17" s="24"/>
      <c r="J17" s="25"/>
      <c r="K17" s="26">
        <f t="shared" si="0"/>
        <v>0</v>
      </c>
      <c r="L17" s="27"/>
      <c r="M17" s="17"/>
      <c r="N17" s="18"/>
      <c r="O17" s="18"/>
      <c r="P17" s="18"/>
      <c r="Q17" s="118"/>
      <c r="R17" s="119"/>
      <c r="S17"/>
    </row>
    <row r="18" spans="1:19" ht="14.45" x14ac:dyDescent="0.3">
      <c r="A18" s="11">
        <v>2</v>
      </c>
      <c r="B18" s="116" t="s">
        <v>33</v>
      </c>
      <c r="C18" s="117"/>
      <c r="D18" s="117"/>
      <c r="E18" s="117"/>
      <c r="F18" s="117"/>
      <c r="G18" s="23"/>
      <c r="H18" s="24" t="s">
        <v>31</v>
      </c>
      <c r="I18" s="24"/>
      <c r="J18" s="25"/>
      <c r="K18" s="26">
        <f t="shared" si="0"/>
        <v>0</v>
      </c>
      <c r="L18" s="27"/>
      <c r="M18" s="17"/>
      <c r="N18" s="18"/>
      <c r="O18" s="18"/>
      <c r="P18" s="18"/>
      <c r="Q18" s="118"/>
      <c r="R18" s="119"/>
      <c r="S18"/>
    </row>
    <row r="19" spans="1:19" ht="14.45" x14ac:dyDescent="0.3">
      <c r="A19" s="11">
        <v>2.1</v>
      </c>
      <c r="B19" s="116" t="s">
        <v>34</v>
      </c>
      <c r="C19" s="117"/>
      <c r="D19" s="117"/>
      <c r="E19" s="117"/>
      <c r="F19" s="117"/>
      <c r="G19" s="23"/>
      <c r="H19" s="24" t="s">
        <v>31</v>
      </c>
      <c r="I19" s="24"/>
      <c r="J19" s="25"/>
      <c r="K19" s="26">
        <f t="shared" si="0"/>
        <v>0</v>
      </c>
      <c r="L19" s="27"/>
      <c r="M19" s="17"/>
      <c r="N19" s="18"/>
      <c r="O19" s="18"/>
      <c r="P19" s="18"/>
      <c r="Q19" s="118"/>
      <c r="R19" s="119"/>
      <c r="S19"/>
    </row>
    <row r="20" spans="1:19" x14ac:dyDescent="0.25">
      <c r="A20" s="11">
        <v>3</v>
      </c>
      <c r="B20" s="116" t="s">
        <v>35</v>
      </c>
      <c r="C20" s="117"/>
      <c r="D20" s="117"/>
      <c r="E20" s="117"/>
      <c r="F20" s="117"/>
      <c r="G20" s="23"/>
      <c r="H20" s="24" t="s">
        <v>31</v>
      </c>
      <c r="I20" s="24"/>
      <c r="J20" s="25"/>
      <c r="K20" s="26">
        <f t="shared" si="0"/>
        <v>0</v>
      </c>
      <c r="L20" s="27"/>
      <c r="M20" s="17"/>
      <c r="N20" s="18"/>
      <c r="O20" s="18"/>
      <c r="P20" s="18"/>
      <c r="Q20" s="118"/>
      <c r="R20" s="119"/>
      <c r="S20"/>
    </row>
    <row r="21" spans="1:19" ht="15" customHeight="1" thickBot="1" x14ac:dyDescent="0.3">
      <c r="A21" s="11">
        <v>4</v>
      </c>
      <c r="B21" s="116" t="s">
        <v>36</v>
      </c>
      <c r="C21" s="117"/>
      <c r="D21" s="117"/>
      <c r="E21" s="117"/>
      <c r="F21" s="117"/>
      <c r="G21" s="23"/>
      <c r="H21" s="24" t="s">
        <v>31</v>
      </c>
      <c r="I21" s="24"/>
      <c r="J21" s="25"/>
      <c r="K21" s="26">
        <f t="shared" si="0"/>
        <v>0</v>
      </c>
      <c r="L21" s="27"/>
      <c r="M21" s="17"/>
      <c r="N21" s="18"/>
      <c r="O21" s="18"/>
      <c r="P21" s="18"/>
      <c r="Q21" s="118"/>
      <c r="R21" s="119"/>
      <c r="S21"/>
    </row>
    <row r="22" spans="1:19" ht="15" customHeight="1" x14ac:dyDescent="0.25">
      <c r="A22" s="11">
        <v>5</v>
      </c>
      <c r="B22" s="128" t="s">
        <v>37</v>
      </c>
      <c r="C22" s="129" t="s">
        <v>38</v>
      </c>
      <c r="D22" s="129" t="s">
        <v>38</v>
      </c>
      <c r="E22" s="129" t="s">
        <v>38</v>
      </c>
      <c r="F22" s="130"/>
      <c r="G22" s="51"/>
      <c r="H22" s="24"/>
      <c r="I22" s="24"/>
      <c r="J22" s="25"/>
      <c r="K22" s="26">
        <f t="shared" si="0"/>
        <v>0</v>
      </c>
      <c r="L22" s="27"/>
      <c r="M22" s="17"/>
      <c r="N22" s="18"/>
      <c r="O22" s="18"/>
      <c r="P22" s="18"/>
      <c r="Q22" s="118"/>
      <c r="R22" s="119"/>
    </row>
    <row r="23" spans="1:19" ht="15" customHeight="1" x14ac:dyDescent="0.25">
      <c r="A23" s="28">
        <v>5.0999999999999996</v>
      </c>
      <c r="B23" s="131" t="s">
        <v>39</v>
      </c>
      <c r="C23" s="132"/>
      <c r="D23" s="132"/>
      <c r="E23" s="132"/>
      <c r="F23" s="133"/>
      <c r="G23" s="51"/>
      <c r="H23" s="24" t="s">
        <v>40</v>
      </c>
      <c r="I23" s="24"/>
      <c r="J23" s="25">
        <v>4</v>
      </c>
      <c r="K23" s="26">
        <f t="shared" si="0"/>
        <v>0</v>
      </c>
      <c r="L23" s="27"/>
      <c r="M23" s="17"/>
      <c r="N23" s="18"/>
      <c r="O23" s="18"/>
      <c r="P23" s="18"/>
      <c r="Q23" s="118"/>
      <c r="R23" s="119"/>
    </row>
    <row r="24" spans="1:19" ht="15" customHeight="1" x14ac:dyDescent="0.25">
      <c r="A24" s="29">
        <v>5.2</v>
      </c>
      <c r="B24" s="131" t="s">
        <v>86</v>
      </c>
      <c r="C24" s="132"/>
      <c r="D24" s="132"/>
      <c r="E24" s="132"/>
      <c r="F24" s="133"/>
      <c r="G24" s="51"/>
      <c r="H24" s="24" t="s">
        <v>62</v>
      </c>
      <c r="I24" s="24"/>
      <c r="J24" s="25">
        <v>12.5</v>
      </c>
      <c r="K24" s="26">
        <f t="shared" si="0"/>
        <v>0</v>
      </c>
      <c r="L24" s="27"/>
      <c r="M24" s="17"/>
      <c r="N24" s="18"/>
      <c r="O24" s="18"/>
      <c r="P24" s="18"/>
      <c r="Q24" s="19"/>
      <c r="R24" s="20"/>
    </row>
    <row r="25" spans="1:19" ht="15" customHeight="1" thickBot="1" x14ac:dyDescent="0.3">
      <c r="A25" s="50">
        <v>5.3</v>
      </c>
      <c r="B25" s="134" t="s">
        <v>41</v>
      </c>
      <c r="C25" s="135"/>
      <c r="D25" s="135"/>
      <c r="E25" s="135"/>
      <c r="F25" s="136"/>
      <c r="G25" s="51"/>
      <c r="H25" s="24" t="s">
        <v>42</v>
      </c>
      <c r="I25" s="24"/>
      <c r="J25" s="25">
        <v>21</v>
      </c>
      <c r="K25" s="26">
        <f t="shared" si="0"/>
        <v>0</v>
      </c>
      <c r="L25" s="27"/>
      <c r="M25" s="30"/>
      <c r="N25" s="18"/>
      <c r="O25" s="18"/>
      <c r="P25" s="18"/>
      <c r="Q25" s="19"/>
      <c r="R25" s="20"/>
    </row>
    <row r="26" spans="1:19" ht="15" customHeight="1" x14ac:dyDescent="0.25">
      <c r="A26" s="11">
        <v>6</v>
      </c>
      <c r="B26" s="128" t="s">
        <v>43</v>
      </c>
      <c r="C26" s="129"/>
      <c r="D26" s="129"/>
      <c r="E26" s="129"/>
      <c r="F26" s="130"/>
      <c r="G26" s="23"/>
      <c r="H26" s="24" t="s">
        <v>31</v>
      </c>
      <c r="I26" s="24"/>
      <c r="J26" s="25"/>
      <c r="K26" s="26">
        <f t="shared" si="0"/>
        <v>0</v>
      </c>
      <c r="L26" s="27"/>
      <c r="M26" s="17"/>
      <c r="N26" s="18"/>
      <c r="O26" s="18"/>
      <c r="P26" s="18"/>
      <c r="Q26" s="118"/>
      <c r="R26" s="119"/>
      <c r="S26"/>
    </row>
    <row r="27" spans="1:19" ht="15" customHeight="1" x14ac:dyDescent="0.25">
      <c r="A27" s="11"/>
      <c r="B27" s="53"/>
      <c r="C27" s="54"/>
      <c r="D27" s="54"/>
      <c r="E27" s="54"/>
      <c r="F27" s="55"/>
      <c r="G27" s="23"/>
      <c r="H27" s="24"/>
      <c r="I27" s="24"/>
      <c r="J27" s="25"/>
      <c r="K27" s="26">
        <f t="shared" si="0"/>
        <v>0</v>
      </c>
      <c r="L27" s="27"/>
      <c r="M27" s="17"/>
      <c r="N27" s="18"/>
      <c r="O27" s="18"/>
      <c r="P27" s="18"/>
      <c r="Q27" s="19"/>
      <c r="R27" s="20"/>
      <c r="S27"/>
    </row>
    <row r="28" spans="1:19" x14ac:dyDescent="0.25">
      <c r="A28" s="11">
        <v>7</v>
      </c>
      <c r="B28" s="116" t="s">
        <v>44</v>
      </c>
      <c r="C28" s="117"/>
      <c r="D28" s="117"/>
      <c r="E28" s="117"/>
      <c r="F28" s="140"/>
      <c r="G28" s="23"/>
      <c r="H28" s="24"/>
      <c r="I28" s="24"/>
      <c r="J28" s="25"/>
      <c r="K28" s="26">
        <f t="shared" si="0"/>
        <v>0</v>
      </c>
      <c r="L28" s="27"/>
      <c r="M28" s="17"/>
      <c r="N28" s="18"/>
      <c r="O28" s="18"/>
      <c r="P28" s="18"/>
      <c r="Q28" s="19"/>
      <c r="R28" s="20"/>
    </row>
    <row r="29" spans="1:19" ht="15" customHeight="1" x14ac:dyDescent="0.25">
      <c r="A29" s="29">
        <v>7.1</v>
      </c>
      <c r="B29" s="137" t="s">
        <v>87</v>
      </c>
      <c r="C29" s="138" t="s">
        <v>38</v>
      </c>
      <c r="D29" s="138" t="s">
        <v>38</v>
      </c>
      <c r="E29" s="138" t="s">
        <v>38</v>
      </c>
      <c r="F29" s="139"/>
      <c r="G29" s="51"/>
      <c r="H29" s="24" t="s">
        <v>40</v>
      </c>
      <c r="I29" s="48"/>
      <c r="J29" s="31">
        <v>10.5</v>
      </c>
      <c r="K29" s="26">
        <f>I29*J29</f>
        <v>0</v>
      </c>
      <c r="L29" s="27"/>
      <c r="M29" s="17"/>
      <c r="N29" s="18"/>
      <c r="O29" s="18"/>
      <c r="P29" s="18"/>
      <c r="Q29" s="19"/>
      <c r="R29" s="20"/>
      <c r="S29" s="1">
        <f>230000/30/30*(I29/8)</f>
        <v>0</v>
      </c>
    </row>
    <row r="30" spans="1:19" ht="15" customHeight="1" x14ac:dyDescent="0.25">
      <c r="A30" s="29">
        <v>7.2</v>
      </c>
      <c r="B30" s="137" t="s">
        <v>88</v>
      </c>
      <c r="C30" s="138" t="s">
        <v>38</v>
      </c>
      <c r="D30" s="138" t="s">
        <v>38</v>
      </c>
      <c r="E30" s="138" t="s">
        <v>38</v>
      </c>
      <c r="F30" s="139"/>
      <c r="G30" s="51"/>
      <c r="H30" s="24" t="s">
        <v>40</v>
      </c>
      <c r="I30" s="48"/>
      <c r="J30" s="31">
        <v>9.5</v>
      </c>
      <c r="K30" s="26">
        <f>I30*J30</f>
        <v>0</v>
      </c>
      <c r="L30" s="27"/>
      <c r="M30" s="17"/>
      <c r="N30" s="18"/>
      <c r="O30" s="18"/>
      <c r="P30" s="18"/>
      <c r="Q30" s="19"/>
      <c r="R30" s="20"/>
      <c r="S30" s="1">
        <f>230000/30/30*(I30/8)</f>
        <v>0</v>
      </c>
    </row>
    <row r="31" spans="1:19" ht="15" customHeight="1" x14ac:dyDescent="0.25">
      <c r="A31" s="29">
        <v>7.3</v>
      </c>
      <c r="B31" s="141" t="s">
        <v>85</v>
      </c>
      <c r="C31" s="142"/>
      <c r="D31" s="142"/>
      <c r="E31" s="142"/>
      <c r="F31" s="142"/>
      <c r="G31" s="34"/>
      <c r="H31" s="24" t="s">
        <v>82</v>
      </c>
      <c r="I31" s="48"/>
      <c r="J31" s="31">
        <v>11</v>
      </c>
      <c r="K31" s="26">
        <f t="shared" ref="K31:K32" si="1">I31*J31</f>
        <v>0</v>
      </c>
      <c r="L31" s="27"/>
      <c r="M31" s="17"/>
      <c r="N31" s="18"/>
      <c r="O31" s="18"/>
      <c r="P31" s="18"/>
      <c r="Q31" s="19"/>
      <c r="R31" s="20"/>
      <c r="S31" s="1">
        <f>230000/30/30*(I32/8)</f>
        <v>0</v>
      </c>
    </row>
    <row r="32" spans="1:19" ht="15" customHeight="1" x14ac:dyDescent="0.25">
      <c r="A32" s="29">
        <v>7.4</v>
      </c>
      <c r="B32" s="137" t="s">
        <v>45</v>
      </c>
      <c r="C32" s="138"/>
      <c r="D32" s="138"/>
      <c r="E32" s="138"/>
      <c r="F32" s="138"/>
      <c r="G32" s="23"/>
      <c r="H32" s="24" t="s">
        <v>40</v>
      </c>
      <c r="I32" s="24"/>
      <c r="J32" s="31">
        <v>9.5</v>
      </c>
      <c r="K32" s="26">
        <f t="shared" si="1"/>
        <v>0</v>
      </c>
      <c r="L32" s="27"/>
      <c r="M32" s="17"/>
      <c r="N32" s="18"/>
      <c r="O32" s="18"/>
      <c r="P32" s="18"/>
      <c r="Q32" s="19"/>
      <c r="R32" s="20"/>
    </row>
    <row r="33" spans="1:20" x14ac:dyDescent="0.25">
      <c r="A33" s="11">
        <v>8</v>
      </c>
      <c r="B33" s="32" t="s">
        <v>46</v>
      </c>
      <c r="C33" s="33"/>
      <c r="D33" s="33"/>
      <c r="E33" s="33"/>
      <c r="F33" s="33"/>
      <c r="G33" s="23"/>
      <c r="H33" s="24" t="s">
        <v>31</v>
      </c>
      <c r="I33" s="24"/>
      <c r="J33" s="25">
        <f>D58/20</f>
        <v>0</v>
      </c>
      <c r="K33" s="26">
        <f t="shared" si="0"/>
        <v>0</v>
      </c>
      <c r="L33" s="27"/>
      <c r="M33" s="17"/>
      <c r="N33" s="18"/>
      <c r="O33" s="18"/>
      <c r="P33" s="18"/>
      <c r="Q33" s="19"/>
      <c r="R33" s="20"/>
    </row>
    <row r="34" spans="1:20" x14ac:dyDescent="0.25">
      <c r="A34" s="11">
        <v>9</v>
      </c>
      <c r="B34" s="116" t="s">
        <v>47</v>
      </c>
      <c r="C34" s="117"/>
      <c r="D34" s="117"/>
      <c r="E34" s="117"/>
      <c r="F34" s="117"/>
      <c r="G34" s="23"/>
      <c r="H34" s="24"/>
      <c r="I34" s="24"/>
      <c r="J34" s="25"/>
      <c r="K34" s="26">
        <f t="shared" si="0"/>
        <v>0</v>
      </c>
      <c r="L34" s="27"/>
      <c r="M34" s="17"/>
      <c r="N34" s="18"/>
      <c r="O34" s="18"/>
      <c r="P34" s="18"/>
      <c r="Q34" s="19"/>
      <c r="R34" s="20"/>
    </row>
    <row r="35" spans="1:20" x14ac:dyDescent="0.25">
      <c r="A35" s="29">
        <v>9.1</v>
      </c>
      <c r="B35" s="137" t="s">
        <v>48</v>
      </c>
      <c r="C35" s="138"/>
      <c r="D35" s="138"/>
      <c r="E35" s="138"/>
      <c r="F35" s="138"/>
      <c r="G35" s="23"/>
      <c r="H35" s="24" t="s">
        <v>49</v>
      </c>
      <c r="I35" s="24"/>
      <c r="J35" s="25">
        <v>65</v>
      </c>
      <c r="K35" s="26">
        <f t="shared" si="0"/>
        <v>0</v>
      </c>
      <c r="L35" s="27"/>
      <c r="M35" s="17"/>
      <c r="N35" s="18"/>
      <c r="O35" s="18"/>
      <c r="P35" s="18"/>
      <c r="Q35" s="19"/>
      <c r="R35" s="20"/>
      <c r="T35" s="36"/>
    </row>
    <row r="36" spans="1:20" x14ac:dyDescent="0.25">
      <c r="A36" s="11">
        <v>10</v>
      </c>
      <c r="B36" s="116" t="s">
        <v>50</v>
      </c>
      <c r="C36" s="117"/>
      <c r="D36" s="117"/>
      <c r="E36" s="117"/>
      <c r="F36" s="117"/>
      <c r="G36" s="34"/>
      <c r="H36" s="35"/>
      <c r="I36" s="35"/>
      <c r="J36" s="31"/>
      <c r="K36" s="26">
        <f t="shared" si="0"/>
        <v>0</v>
      </c>
      <c r="L36" s="27"/>
      <c r="M36" s="17"/>
      <c r="N36" s="18"/>
      <c r="O36" s="18"/>
      <c r="P36" s="18"/>
      <c r="Q36" s="19"/>
      <c r="R36" s="20"/>
      <c r="T36" s="36"/>
    </row>
    <row r="37" spans="1:20" ht="15" customHeight="1" x14ac:dyDescent="0.25">
      <c r="A37" s="29">
        <v>10.1</v>
      </c>
      <c r="B37" s="137" t="s">
        <v>84</v>
      </c>
      <c r="C37" s="138"/>
      <c r="D37" s="138"/>
      <c r="E37" s="138"/>
      <c r="F37" s="139"/>
      <c r="G37" s="34"/>
      <c r="H37" s="35" t="s">
        <v>83</v>
      </c>
      <c r="I37" s="24"/>
      <c r="J37" s="31">
        <v>600</v>
      </c>
      <c r="K37" s="26">
        <f t="shared" si="0"/>
        <v>0</v>
      </c>
      <c r="L37" s="27"/>
      <c r="M37" s="17"/>
      <c r="N37" s="18"/>
      <c r="O37" s="18"/>
      <c r="P37" s="18"/>
      <c r="Q37" s="19"/>
      <c r="R37" s="20"/>
    </row>
    <row r="38" spans="1:20" ht="15" customHeight="1" x14ac:dyDescent="0.25">
      <c r="A38" s="11">
        <v>11</v>
      </c>
      <c r="B38" s="116" t="s">
        <v>51</v>
      </c>
      <c r="C38" s="117"/>
      <c r="D38" s="117"/>
      <c r="E38" s="117"/>
      <c r="F38" s="117"/>
      <c r="G38" s="23"/>
      <c r="H38" s="24"/>
      <c r="I38" s="24"/>
      <c r="J38" s="31"/>
      <c r="K38" s="26">
        <f t="shared" si="0"/>
        <v>0</v>
      </c>
      <c r="L38" s="27"/>
      <c r="M38" s="17"/>
      <c r="N38" s="18"/>
      <c r="O38" s="18"/>
      <c r="P38" s="18"/>
      <c r="Q38" s="19"/>
      <c r="R38" s="20"/>
    </row>
    <row r="39" spans="1:20" ht="15" customHeight="1" x14ac:dyDescent="0.25">
      <c r="A39" s="29">
        <v>11.1</v>
      </c>
      <c r="B39" s="137" t="s">
        <v>52</v>
      </c>
      <c r="C39" s="138"/>
      <c r="D39" s="138"/>
      <c r="E39" s="138"/>
      <c r="F39" s="138"/>
      <c r="G39" s="23"/>
      <c r="H39" s="24" t="s">
        <v>40</v>
      </c>
      <c r="I39" s="24"/>
      <c r="J39" s="25">
        <v>2000</v>
      </c>
      <c r="K39" s="26">
        <f t="shared" si="0"/>
        <v>0</v>
      </c>
      <c r="L39" s="27"/>
      <c r="M39" s="17"/>
      <c r="N39" s="18"/>
      <c r="O39" s="18"/>
      <c r="P39" s="18"/>
      <c r="Q39" s="19"/>
      <c r="R39" s="20"/>
      <c r="S39" s="1">
        <f>230000/30/30*(I40/8)</f>
        <v>0</v>
      </c>
    </row>
    <row r="40" spans="1:20" ht="24" customHeight="1" x14ac:dyDescent="0.25">
      <c r="A40" s="29">
        <v>11.2</v>
      </c>
      <c r="B40" s="143" t="s">
        <v>53</v>
      </c>
      <c r="C40" s="144"/>
      <c r="D40" s="144"/>
      <c r="E40" s="144"/>
      <c r="F40" s="144"/>
      <c r="G40" s="34"/>
      <c r="H40" s="35" t="s">
        <v>54</v>
      </c>
      <c r="I40" s="37"/>
      <c r="J40" s="31">
        <v>9</v>
      </c>
      <c r="K40" s="26">
        <f t="shared" si="0"/>
        <v>0</v>
      </c>
      <c r="L40" s="27"/>
      <c r="M40" s="17"/>
      <c r="N40" s="18"/>
      <c r="O40" s="18"/>
      <c r="P40" s="18"/>
      <c r="Q40" s="19"/>
      <c r="R40" s="20"/>
      <c r="S40" s="1">
        <f>230000/30/30*(I41/8)</f>
        <v>0</v>
      </c>
    </row>
    <row r="41" spans="1:20" x14ac:dyDescent="0.25">
      <c r="A41" s="29">
        <v>11.3</v>
      </c>
      <c r="B41" s="143" t="s">
        <v>55</v>
      </c>
      <c r="C41" s="144"/>
      <c r="D41" s="144"/>
      <c r="E41" s="144"/>
      <c r="F41" s="144"/>
      <c r="G41" s="34"/>
      <c r="H41" s="35" t="s">
        <v>54</v>
      </c>
      <c r="I41" s="37"/>
      <c r="J41" s="31">
        <v>11</v>
      </c>
      <c r="K41" s="26">
        <f t="shared" si="0"/>
        <v>0</v>
      </c>
      <c r="L41" s="27"/>
      <c r="M41" s="17"/>
      <c r="N41" s="18"/>
      <c r="O41" s="18"/>
      <c r="P41" s="18"/>
      <c r="Q41" s="19"/>
      <c r="R41" s="20"/>
      <c r="S41"/>
    </row>
    <row r="42" spans="1:20" ht="15" customHeight="1" x14ac:dyDescent="0.25">
      <c r="A42" s="11">
        <v>12</v>
      </c>
      <c r="B42" s="116" t="s">
        <v>56</v>
      </c>
      <c r="C42" s="117"/>
      <c r="D42" s="117"/>
      <c r="E42" s="117"/>
      <c r="F42" s="117"/>
      <c r="G42" s="23"/>
      <c r="H42" s="24" t="s">
        <v>31</v>
      </c>
      <c r="I42" s="24"/>
      <c r="J42" s="25"/>
      <c r="K42" s="26">
        <f t="shared" ref="K42:K44" si="2">G42*J42</f>
        <v>0</v>
      </c>
      <c r="L42" s="27"/>
      <c r="M42" s="17"/>
      <c r="N42" s="18"/>
      <c r="O42" s="18"/>
      <c r="P42" s="18"/>
      <c r="Q42" s="118"/>
      <c r="R42" s="119"/>
    </row>
    <row r="43" spans="1:20" ht="15" customHeight="1" x14ac:dyDescent="0.25">
      <c r="A43" s="11">
        <v>13</v>
      </c>
      <c r="B43" s="116" t="s">
        <v>57</v>
      </c>
      <c r="C43" s="117"/>
      <c r="D43" s="117"/>
      <c r="E43" s="117"/>
      <c r="F43" s="117"/>
      <c r="G43" s="23"/>
      <c r="H43" s="24" t="s">
        <v>31</v>
      </c>
      <c r="I43" s="24"/>
      <c r="J43" s="25">
        <v>3000</v>
      </c>
      <c r="K43" s="26">
        <f t="shared" si="2"/>
        <v>0</v>
      </c>
      <c r="L43" s="27"/>
      <c r="M43" s="17"/>
      <c r="N43" s="18"/>
      <c r="O43" s="18"/>
      <c r="P43" s="18"/>
      <c r="Q43" s="19"/>
      <c r="R43" s="20"/>
    </row>
    <row r="44" spans="1:20" x14ac:dyDescent="0.25">
      <c r="A44" s="11">
        <v>14</v>
      </c>
      <c r="B44" s="116" t="s">
        <v>58</v>
      </c>
      <c r="C44" s="117"/>
      <c r="D44" s="117"/>
      <c r="E44" s="117"/>
      <c r="F44" s="117"/>
      <c r="G44" s="23"/>
      <c r="H44" s="24" t="s">
        <v>59</v>
      </c>
      <c r="I44" s="24"/>
      <c r="J44" s="25">
        <v>3000</v>
      </c>
      <c r="K44" s="26">
        <f t="shared" si="2"/>
        <v>0</v>
      </c>
      <c r="L44" s="40"/>
      <c r="M44" s="17"/>
      <c r="N44" s="18"/>
      <c r="O44" s="18"/>
      <c r="P44" s="18"/>
      <c r="Q44" s="19"/>
      <c r="R44" s="20"/>
      <c r="S44"/>
    </row>
    <row r="45" spans="1:20" x14ac:dyDescent="0.25">
      <c r="A45" s="11">
        <v>16</v>
      </c>
      <c r="B45" s="21" t="s">
        <v>60</v>
      </c>
      <c r="C45" s="22"/>
      <c r="D45" s="22"/>
      <c r="E45" s="22"/>
      <c r="F45" s="22"/>
      <c r="G45" s="23"/>
      <c r="H45" s="24" t="s">
        <v>31</v>
      </c>
      <c r="I45" s="24"/>
      <c r="J45" s="25"/>
      <c r="K45" s="26">
        <f t="shared" ref="K45:K48" si="3">G45*J45</f>
        <v>0</v>
      </c>
      <c r="L45" s="27"/>
      <c r="M45" s="17"/>
      <c r="N45" s="18"/>
      <c r="O45" s="18"/>
      <c r="P45" s="18"/>
      <c r="Q45" s="19"/>
      <c r="R45" s="20"/>
      <c r="S45"/>
    </row>
    <row r="46" spans="1:20" x14ac:dyDescent="0.25">
      <c r="A46" s="11">
        <v>17</v>
      </c>
      <c r="B46" s="116" t="s">
        <v>61</v>
      </c>
      <c r="C46" s="117"/>
      <c r="D46" s="117"/>
      <c r="E46" s="117"/>
      <c r="F46" s="117"/>
      <c r="G46" s="23"/>
      <c r="H46" s="24" t="s">
        <v>62</v>
      </c>
      <c r="I46" s="24"/>
      <c r="J46" s="25"/>
      <c r="K46" s="26">
        <f t="shared" si="3"/>
        <v>0</v>
      </c>
      <c r="L46" s="27"/>
      <c r="M46" s="17"/>
      <c r="N46" s="18"/>
      <c r="O46" s="18"/>
      <c r="P46" s="18"/>
      <c r="Q46" s="118"/>
      <c r="R46" s="119"/>
      <c r="S46"/>
    </row>
    <row r="47" spans="1:20" x14ac:dyDescent="0.25">
      <c r="A47" s="11">
        <v>18</v>
      </c>
      <c r="B47" s="116" t="s">
        <v>63</v>
      </c>
      <c r="C47" s="117"/>
      <c r="D47" s="117"/>
      <c r="E47" s="117"/>
      <c r="F47" s="117"/>
      <c r="G47" s="23"/>
      <c r="H47" s="24" t="s">
        <v>31</v>
      </c>
      <c r="I47" s="24"/>
      <c r="J47" s="25"/>
      <c r="K47" s="26">
        <f t="shared" si="3"/>
        <v>0</v>
      </c>
      <c r="L47" s="27"/>
      <c r="M47" s="17"/>
      <c r="N47" s="18"/>
      <c r="O47" s="18"/>
      <c r="P47" s="18"/>
      <c r="Q47" s="118"/>
      <c r="R47" s="119"/>
      <c r="S47"/>
    </row>
    <row r="48" spans="1:20" x14ac:dyDescent="0.25">
      <c r="A48" s="11">
        <v>20</v>
      </c>
      <c r="B48" s="116" t="s">
        <v>64</v>
      </c>
      <c r="C48" s="117"/>
      <c r="D48" s="117"/>
      <c r="E48" s="117"/>
      <c r="F48" s="117"/>
      <c r="G48" s="23"/>
      <c r="H48" s="24" t="s">
        <v>31</v>
      </c>
      <c r="I48" s="24"/>
      <c r="J48" s="25"/>
      <c r="K48" s="26">
        <f t="shared" si="3"/>
        <v>0</v>
      </c>
      <c r="L48" s="27"/>
      <c r="M48" s="17"/>
      <c r="N48" s="18"/>
      <c r="O48" s="18"/>
      <c r="P48" s="18"/>
      <c r="Q48" s="118"/>
      <c r="R48" s="119"/>
      <c r="S48"/>
    </row>
    <row r="49" spans="1:20" x14ac:dyDescent="0.25">
      <c r="A49" s="11">
        <v>21</v>
      </c>
      <c r="B49" s="116" t="s">
        <v>65</v>
      </c>
      <c r="C49" s="117"/>
      <c r="D49" s="117"/>
      <c r="E49" s="117"/>
      <c r="F49" s="117"/>
      <c r="G49" s="23"/>
      <c r="H49" s="24" t="s">
        <v>31</v>
      </c>
      <c r="I49" s="24"/>
      <c r="J49" s="25"/>
      <c r="K49" s="26">
        <f>G49*J49</f>
        <v>0</v>
      </c>
      <c r="L49" s="27"/>
      <c r="M49" s="17"/>
      <c r="N49" s="18"/>
      <c r="O49" s="18"/>
      <c r="P49" s="18"/>
      <c r="Q49" s="118"/>
      <c r="R49" s="119"/>
      <c r="S49"/>
    </row>
    <row r="50" spans="1:20" x14ac:dyDescent="0.25">
      <c r="A50" s="11">
        <v>22</v>
      </c>
      <c r="B50" s="116" t="s">
        <v>66</v>
      </c>
      <c r="C50" s="117"/>
      <c r="D50" s="117"/>
      <c r="E50" s="117"/>
      <c r="F50" s="117"/>
      <c r="G50" s="23"/>
      <c r="H50" s="24" t="s">
        <v>31</v>
      </c>
      <c r="I50" s="24"/>
      <c r="J50" s="25"/>
      <c r="K50" s="26">
        <f t="shared" ref="K50:K54" si="4">G50*J50</f>
        <v>0</v>
      </c>
      <c r="L50" s="27"/>
      <c r="M50" s="17"/>
      <c r="N50" s="18"/>
      <c r="O50" s="18"/>
      <c r="P50" s="18"/>
      <c r="Q50" s="118"/>
      <c r="R50" s="119"/>
      <c r="S50"/>
    </row>
    <row r="51" spans="1:20" x14ac:dyDescent="0.25">
      <c r="A51" s="11">
        <v>23</v>
      </c>
      <c r="B51" s="116" t="s">
        <v>67</v>
      </c>
      <c r="C51" s="117"/>
      <c r="D51" s="117"/>
      <c r="E51" s="117"/>
      <c r="F51" s="117"/>
      <c r="G51" s="23"/>
      <c r="H51" s="24" t="s">
        <v>31</v>
      </c>
      <c r="I51" s="24"/>
      <c r="J51" s="25"/>
      <c r="K51" s="26">
        <f t="shared" si="4"/>
        <v>0</v>
      </c>
      <c r="L51" s="27"/>
      <c r="M51" s="17"/>
      <c r="N51" s="18"/>
      <c r="O51" s="18"/>
      <c r="P51" s="18"/>
      <c r="Q51" s="118"/>
      <c r="R51" s="119"/>
      <c r="S51"/>
    </row>
    <row r="52" spans="1:20" x14ac:dyDescent="0.25">
      <c r="A52" s="11">
        <v>24</v>
      </c>
      <c r="B52" s="116" t="s">
        <v>68</v>
      </c>
      <c r="C52" s="117"/>
      <c r="D52" s="117"/>
      <c r="E52" s="117"/>
      <c r="F52" s="117"/>
      <c r="G52" s="23"/>
      <c r="H52" s="24" t="s">
        <v>31</v>
      </c>
      <c r="I52" s="24"/>
      <c r="J52" s="25"/>
      <c r="K52" s="26">
        <f t="shared" si="4"/>
        <v>0</v>
      </c>
      <c r="L52" s="27"/>
      <c r="M52" s="17"/>
      <c r="N52" s="18"/>
      <c r="O52" s="18"/>
      <c r="P52" s="18"/>
      <c r="Q52" s="118"/>
      <c r="R52" s="119"/>
      <c r="S52"/>
    </row>
    <row r="53" spans="1:20" x14ac:dyDescent="0.25">
      <c r="A53" s="11">
        <v>25</v>
      </c>
      <c r="B53" s="116" t="s">
        <v>69</v>
      </c>
      <c r="C53" s="117"/>
      <c r="D53" s="117"/>
      <c r="E53" s="117"/>
      <c r="F53" s="117"/>
      <c r="G53" s="23"/>
      <c r="H53" s="24" t="s">
        <v>31</v>
      </c>
      <c r="I53" s="24"/>
      <c r="J53" s="25"/>
      <c r="K53" s="26">
        <f t="shared" si="4"/>
        <v>0</v>
      </c>
      <c r="L53" s="27"/>
      <c r="M53" s="17"/>
      <c r="N53" s="18"/>
      <c r="O53" s="18"/>
      <c r="P53" s="18"/>
      <c r="Q53" s="118"/>
      <c r="R53" s="119"/>
      <c r="S53"/>
    </row>
    <row r="54" spans="1:20" ht="24.6" customHeight="1" thickBot="1" x14ac:dyDescent="0.3">
      <c r="A54" s="11">
        <v>26</v>
      </c>
      <c r="B54" s="116" t="s">
        <v>70</v>
      </c>
      <c r="C54" s="117"/>
      <c r="D54" s="117"/>
      <c r="E54" s="117"/>
      <c r="F54" s="117"/>
      <c r="G54" s="23"/>
      <c r="H54" s="24" t="s">
        <v>31</v>
      </c>
      <c r="I54" s="24"/>
      <c r="J54" s="38"/>
      <c r="K54" s="39">
        <f t="shared" si="4"/>
        <v>0</v>
      </c>
      <c r="L54" s="40"/>
      <c r="M54" s="17"/>
      <c r="N54" s="18"/>
      <c r="O54" s="18"/>
      <c r="P54" s="18"/>
      <c r="Q54" s="118"/>
      <c r="R54" s="119"/>
      <c r="S54" s="1">
        <f>SUM(S15:S43)</f>
        <v>0</v>
      </c>
    </row>
    <row r="55" spans="1:20" ht="24.6" customHeight="1" thickBot="1" x14ac:dyDescent="0.3">
      <c r="A55" s="151" t="s">
        <v>26</v>
      </c>
      <c r="B55" s="152"/>
      <c r="C55" s="152"/>
      <c r="D55" s="153">
        <f>SUM(K16:K54)</f>
        <v>0</v>
      </c>
      <c r="E55" s="154"/>
      <c r="F55" s="155"/>
      <c r="G55" s="156" t="s">
        <v>71</v>
      </c>
      <c r="H55" s="156"/>
      <c r="I55" s="41"/>
      <c r="J55" s="5" t="s">
        <v>72</v>
      </c>
      <c r="K55" s="56"/>
      <c r="L55" s="52"/>
      <c r="M55" s="157" t="s">
        <v>73</v>
      </c>
      <c r="N55" s="158"/>
      <c r="O55" s="158"/>
      <c r="P55" s="159" t="s">
        <v>72</v>
      </c>
      <c r="Q55" s="157"/>
      <c r="R55" s="160"/>
    </row>
    <row r="56" spans="1:20" ht="24.6" customHeight="1" thickBot="1" x14ac:dyDescent="0.3">
      <c r="A56" s="145" t="s">
        <v>74</v>
      </c>
      <c r="B56" s="146"/>
      <c r="C56" s="146"/>
      <c r="D56" s="147">
        <f>S54</f>
        <v>0</v>
      </c>
      <c r="E56" s="148"/>
      <c r="F56" s="149"/>
      <c r="G56" s="150" t="s">
        <v>75</v>
      </c>
      <c r="H56" s="150"/>
      <c r="I56" s="42"/>
      <c r="J56" s="5" t="s">
        <v>76</v>
      </c>
      <c r="K56" s="56"/>
      <c r="L56" s="52"/>
      <c r="M56" s="150" t="s">
        <v>75</v>
      </c>
      <c r="N56" s="150"/>
      <c r="O56" s="150"/>
      <c r="P56" s="68" t="s">
        <v>76</v>
      </c>
      <c r="Q56" s="69"/>
      <c r="R56" s="73"/>
    </row>
    <row r="57" spans="1:20" ht="24.6" customHeight="1" thickBot="1" x14ac:dyDescent="0.3">
      <c r="A57" s="161" t="s">
        <v>77</v>
      </c>
      <c r="B57" s="162"/>
      <c r="C57" s="162"/>
      <c r="D57" s="163">
        <f>D55+D56</f>
        <v>0</v>
      </c>
      <c r="E57" s="164"/>
      <c r="F57" s="165"/>
      <c r="G57" s="43"/>
      <c r="H57" s="43"/>
      <c r="I57" s="43"/>
      <c r="J57" s="5"/>
      <c r="K57" s="56"/>
      <c r="L57" s="52"/>
      <c r="M57" s="166" t="s">
        <v>78</v>
      </c>
      <c r="N57" s="150"/>
      <c r="O57" s="167"/>
      <c r="P57" s="68" t="s">
        <v>79</v>
      </c>
      <c r="Q57" s="69"/>
      <c r="R57" s="73"/>
    </row>
    <row r="58" spans="1:20" s="1" customFormat="1" ht="15.75" thickBot="1" x14ac:dyDescent="0.3">
      <c r="A58" s="161" t="s">
        <v>80</v>
      </c>
      <c r="B58" s="162"/>
      <c r="C58" s="162"/>
      <c r="D58" s="163"/>
      <c r="E58" s="164"/>
      <c r="F58" s="165"/>
      <c r="G58" s="168"/>
      <c r="H58" s="168"/>
      <c r="I58" s="43"/>
      <c r="J58" s="5"/>
      <c r="K58" s="56"/>
      <c r="L58" s="52"/>
      <c r="M58" s="68"/>
      <c r="N58" s="69"/>
      <c r="O58" s="73"/>
      <c r="P58" s="169"/>
      <c r="Q58" s="170"/>
      <c r="R58" s="171"/>
      <c r="T58"/>
    </row>
    <row r="59" spans="1:20" s="1" customFormat="1" ht="15.75" thickBot="1" x14ac:dyDescent="0.3">
      <c r="A59" s="161" t="s">
        <v>81</v>
      </c>
      <c r="B59" s="162"/>
      <c r="C59" s="162"/>
      <c r="D59" s="163">
        <f>+D58-D57</f>
        <v>0</v>
      </c>
      <c r="E59" s="164"/>
      <c r="F59" s="165"/>
      <c r="G59"/>
      <c r="H59"/>
      <c r="I59"/>
      <c r="J59"/>
      <c r="K59" s="57"/>
      <c r="L59"/>
      <c r="M59"/>
      <c r="N59"/>
      <c r="O59"/>
      <c r="P59"/>
      <c r="Q59"/>
      <c r="R59"/>
      <c r="T59"/>
    </row>
    <row r="60" spans="1:20" s="1" customFormat="1" x14ac:dyDescent="0.25">
      <c r="A60" s="44"/>
      <c r="B60" s="44"/>
      <c r="C60"/>
      <c r="E60"/>
      <c r="F60"/>
      <c r="G60"/>
      <c r="H60"/>
      <c r="I60"/>
      <c r="J60"/>
      <c r="K60" s="57"/>
      <c r="L60"/>
      <c r="M60"/>
      <c r="N60"/>
      <c r="O60"/>
      <c r="P60"/>
      <c r="Q60"/>
      <c r="R60"/>
      <c r="T60"/>
    </row>
    <row r="61" spans="1:20" s="1" customFormat="1" x14ac:dyDescent="0.25">
      <c r="A61"/>
      <c r="B61"/>
      <c r="C61"/>
      <c r="E61"/>
      <c r="F61" s="49" t="e">
        <f>D59/D58</f>
        <v>#DIV/0!</v>
      </c>
      <c r="G61"/>
      <c r="H61"/>
      <c r="I61"/>
      <c r="J61"/>
      <c r="K61" s="57"/>
      <c r="L61"/>
      <c r="M61"/>
      <c r="N61"/>
      <c r="O61"/>
      <c r="P61"/>
      <c r="Q61"/>
      <c r="R61"/>
      <c r="T61"/>
    </row>
    <row r="62" spans="1:20" s="1" customFormat="1" ht="15.75" x14ac:dyDescent="0.25">
      <c r="A62" s="45"/>
      <c r="B62" s="36">
        <f>D58-D55</f>
        <v>0</v>
      </c>
      <c r="C62"/>
      <c r="D62" s="36"/>
      <c r="E62"/>
      <c r="F62" s="46"/>
      <c r="G62"/>
      <c r="H62" s="36"/>
      <c r="I62"/>
      <c r="J62"/>
      <c r="K62" s="57"/>
      <c r="L62"/>
      <c r="M62"/>
      <c r="N62"/>
      <c r="O62"/>
      <c r="P62"/>
      <c r="Q62"/>
      <c r="R62"/>
      <c r="T62"/>
    </row>
    <row r="63" spans="1:20" s="1" customFormat="1" x14ac:dyDescent="0.25">
      <c r="A63" s="47"/>
      <c r="B63"/>
      <c r="C63"/>
      <c r="D63"/>
      <c r="E63"/>
      <c r="F63"/>
      <c r="G63"/>
      <c r="H63"/>
      <c r="I63"/>
      <c r="J63"/>
      <c r="K63" s="57"/>
      <c r="L63"/>
      <c r="M63"/>
      <c r="N63"/>
      <c r="O63"/>
      <c r="P63"/>
      <c r="Q63"/>
      <c r="R63"/>
      <c r="T63"/>
    </row>
    <row r="64" spans="1:20" s="1" customFormat="1" x14ac:dyDescent="0.25">
      <c r="A64" s="47"/>
      <c r="B64"/>
      <c r="C64"/>
      <c r="D64"/>
      <c r="E64"/>
      <c r="F64"/>
      <c r="G64"/>
      <c r="H64"/>
      <c r="I64"/>
      <c r="J64"/>
      <c r="K64" s="57"/>
      <c r="L64"/>
      <c r="M64"/>
      <c r="N64"/>
      <c r="O64"/>
      <c r="P64"/>
      <c r="Q64"/>
      <c r="R64"/>
      <c r="T64"/>
    </row>
    <row r="65" spans="1:20" x14ac:dyDescent="0.25">
      <c r="K65" s="57"/>
    </row>
    <row r="66" spans="1:20" x14ac:dyDescent="0.25">
      <c r="K66" s="57"/>
    </row>
    <row r="67" spans="1:20" x14ac:dyDescent="0.25">
      <c r="K67" s="41"/>
    </row>
    <row r="68" spans="1:20" x14ac:dyDescent="0.25">
      <c r="K68" s="41"/>
    </row>
    <row r="69" spans="1:20" x14ac:dyDescent="0.25">
      <c r="K69" s="41"/>
    </row>
    <row r="70" spans="1:20" s="1" customFormat="1" x14ac:dyDescent="0.25">
      <c r="A70"/>
      <c r="B70"/>
      <c r="C70"/>
      <c r="D70"/>
      <c r="E70"/>
      <c r="F70"/>
      <c r="G70"/>
      <c r="H70"/>
      <c r="I70"/>
      <c r="J70"/>
      <c r="K70" s="41"/>
      <c r="L70" s="58"/>
      <c r="M70"/>
      <c r="N70"/>
      <c r="O70"/>
      <c r="P70"/>
      <c r="Q70"/>
      <c r="R70"/>
      <c r="T70"/>
    </row>
    <row r="71" spans="1:20" s="1" customFormat="1" x14ac:dyDescent="0.25">
      <c r="A71"/>
      <c r="B71"/>
      <c r="C71"/>
      <c r="D71"/>
      <c r="E71"/>
      <c r="F71"/>
      <c r="G71"/>
      <c r="H71"/>
      <c r="I71"/>
      <c r="J71"/>
      <c r="K71"/>
      <c r="L71" s="58"/>
      <c r="M71"/>
      <c r="N71"/>
      <c r="O71"/>
      <c r="P71"/>
      <c r="Q71"/>
      <c r="R71"/>
      <c r="T71"/>
    </row>
  </sheetData>
  <mergeCells count="140">
    <mergeCell ref="A59:C59"/>
    <mergeCell ref="D59:F59"/>
    <mergeCell ref="A57:C57"/>
    <mergeCell ref="D57:F57"/>
    <mergeCell ref="M57:O57"/>
    <mergeCell ref="P57:R57"/>
    <mergeCell ref="A58:C58"/>
    <mergeCell ref="D58:F58"/>
    <mergeCell ref="G58:H58"/>
    <mergeCell ref="M58:O58"/>
    <mergeCell ref="P58:R58"/>
    <mergeCell ref="A56:C56"/>
    <mergeCell ref="D56:F56"/>
    <mergeCell ref="G56:H56"/>
    <mergeCell ref="M56:O56"/>
    <mergeCell ref="P56:R56"/>
    <mergeCell ref="A55:C55"/>
    <mergeCell ref="D55:F55"/>
    <mergeCell ref="G55:H55"/>
    <mergeCell ref="M55:O55"/>
    <mergeCell ref="P55:R55"/>
    <mergeCell ref="B52:F52"/>
    <mergeCell ref="Q52:R52"/>
    <mergeCell ref="B53:F53"/>
    <mergeCell ref="Q53:R53"/>
    <mergeCell ref="B54:F54"/>
    <mergeCell ref="Q54:R54"/>
    <mergeCell ref="B49:F49"/>
    <mergeCell ref="Q49:R49"/>
    <mergeCell ref="B50:F50"/>
    <mergeCell ref="Q50:R50"/>
    <mergeCell ref="B51:F51"/>
    <mergeCell ref="Q51:R51"/>
    <mergeCell ref="B46:F46"/>
    <mergeCell ref="Q46:R46"/>
    <mergeCell ref="B47:F47"/>
    <mergeCell ref="Q47:R47"/>
    <mergeCell ref="B48:F48"/>
    <mergeCell ref="Q48:R48"/>
    <mergeCell ref="B40:F40"/>
    <mergeCell ref="B41:F41"/>
    <mergeCell ref="B42:F42"/>
    <mergeCell ref="Q42:R42"/>
    <mergeCell ref="B43:F43"/>
    <mergeCell ref="B44:F44"/>
    <mergeCell ref="B35:F35"/>
    <mergeCell ref="B36:F36"/>
    <mergeCell ref="B37:F37"/>
    <mergeCell ref="B38:F38"/>
    <mergeCell ref="B39:F39"/>
    <mergeCell ref="B28:F28"/>
    <mergeCell ref="B29:F29"/>
    <mergeCell ref="B30:F30"/>
    <mergeCell ref="B31:F31"/>
    <mergeCell ref="B32:F32"/>
    <mergeCell ref="B34:F34"/>
    <mergeCell ref="B22:F22"/>
    <mergeCell ref="Q22:R22"/>
    <mergeCell ref="B23:F23"/>
    <mergeCell ref="Q23:R23"/>
    <mergeCell ref="B25:F25"/>
    <mergeCell ref="B26:F26"/>
    <mergeCell ref="Q26:R26"/>
    <mergeCell ref="B19:F19"/>
    <mergeCell ref="Q19:R19"/>
    <mergeCell ref="B20:F20"/>
    <mergeCell ref="Q20:R20"/>
    <mergeCell ref="B21:F21"/>
    <mergeCell ref="Q21:R21"/>
    <mergeCell ref="B24:F24"/>
    <mergeCell ref="B16:F16"/>
    <mergeCell ref="Q16:R16"/>
    <mergeCell ref="B17:F17"/>
    <mergeCell ref="Q17:R17"/>
    <mergeCell ref="B18:F18"/>
    <mergeCell ref="Q18:R18"/>
    <mergeCell ref="A13:F13"/>
    <mergeCell ref="G13:L13"/>
    <mergeCell ref="M13:R13"/>
    <mergeCell ref="B14:F14"/>
    <mergeCell ref="Q14:R14"/>
    <mergeCell ref="B15:F15"/>
    <mergeCell ref="Q15:R15"/>
    <mergeCell ref="A12:B12"/>
    <mergeCell ref="C12:D12"/>
    <mergeCell ref="E12:F12"/>
    <mergeCell ref="G12:L12"/>
    <mergeCell ref="M12:N12"/>
    <mergeCell ref="O12:R12"/>
    <mergeCell ref="A11:B11"/>
    <mergeCell ref="C11:D11"/>
    <mergeCell ref="E11:F11"/>
    <mergeCell ref="G11:L11"/>
    <mergeCell ref="M11:N11"/>
    <mergeCell ref="O11:R11"/>
    <mergeCell ref="A10:B10"/>
    <mergeCell ref="C10:D10"/>
    <mergeCell ref="E10:F10"/>
    <mergeCell ref="G10:L10"/>
    <mergeCell ref="M10:N10"/>
    <mergeCell ref="O10:R10"/>
    <mergeCell ref="A9:B9"/>
    <mergeCell ref="C9:D9"/>
    <mergeCell ref="E9:F9"/>
    <mergeCell ref="G9:L9"/>
    <mergeCell ref="M9:N9"/>
    <mergeCell ref="O9:R9"/>
    <mergeCell ref="Q7:R7"/>
    <mergeCell ref="A8:D8"/>
    <mergeCell ref="E8:F8"/>
    <mergeCell ref="G8:L8"/>
    <mergeCell ref="M8:N8"/>
    <mergeCell ref="O8:R8"/>
    <mergeCell ref="A7:B7"/>
    <mergeCell ref="E7:F7"/>
    <mergeCell ref="G7:H7"/>
    <mergeCell ref="J7:L7"/>
    <mergeCell ref="M7:N7"/>
    <mergeCell ref="O7:P7"/>
    <mergeCell ref="A6:B6"/>
    <mergeCell ref="C6:D6"/>
    <mergeCell ref="E6:F6"/>
    <mergeCell ref="G6:L6"/>
    <mergeCell ref="M6:N6"/>
    <mergeCell ref="O6:R6"/>
    <mergeCell ref="A5:B5"/>
    <mergeCell ref="C5:D5"/>
    <mergeCell ref="E5:F5"/>
    <mergeCell ref="G5:L5"/>
    <mergeCell ref="M5:N5"/>
    <mergeCell ref="O5:R5"/>
    <mergeCell ref="A1:R1"/>
    <mergeCell ref="E2:M2"/>
    <mergeCell ref="A3:R3"/>
    <mergeCell ref="A4:B4"/>
    <mergeCell ref="C4:D4"/>
    <mergeCell ref="E4:F4"/>
    <mergeCell ref="G4:L4"/>
    <mergeCell ref="M4:N4"/>
    <mergeCell ref="O4:R4"/>
  </mergeCells>
  <printOptions horizontalCentered="1"/>
  <pageMargins left="0.05" right="0" top="0.5" bottom="0.05" header="0" footer="0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142676- Structure Frame</vt:lpstr>
      <vt:lpstr>'142676- Structure Frame'!Print_Area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Anand Dubey</dc:creator>
  <cp:lastModifiedBy>t11771</cp:lastModifiedBy>
  <dcterms:created xsi:type="dcterms:W3CDTF">2025-02-01T13:22:38Z</dcterms:created>
  <dcterms:modified xsi:type="dcterms:W3CDTF">2026-04-17T12:26:11Z</dcterms:modified>
</cp:coreProperties>
</file>