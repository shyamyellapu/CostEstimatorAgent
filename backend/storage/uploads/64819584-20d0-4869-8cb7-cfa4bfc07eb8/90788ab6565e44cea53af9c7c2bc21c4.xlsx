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lees\Proposal\626-05-Metering Skid for ADNOC Gas - EPCM Services for DAS Island\RFQ- Fabrication\Latest\"/>
    </mc:Choice>
  </mc:AlternateContent>
  <bookViews>
    <workbookView xWindow="0" yWindow="0" windowWidth="28800" windowHeight="11880" activeTab="1"/>
  </bookViews>
  <sheets>
    <sheet name="PIPE-BOM" sheetId="13" r:id="rId1"/>
    <sheet name="STR- BOM" sheetId="14" r:id="rId2"/>
  </sheets>
  <calcPr calcId="152511"/>
</workbook>
</file>

<file path=xl/calcChain.xml><?xml version="1.0" encoding="utf-8"?>
<calcChain xmlns="http://schemas.openxmlformats.org/spreadsheetml/2006/main">
  <c r="F5" i="14" l="1"/>
  <c r="F7" i="14" s="1"/>
  <c r="F11" i="14" l="1"/>
  <c r="F10" i="14"/>
  <c r="F12" i="14" s="1"/>
  <c r="F17" i="14" l="1"/>
  <c r="F16" i="14"/>
  <c r="F19" i="14" l="1"/>
  <c r="F21" i="14" s="1"/>
</calcChain>
</file>

<file path=xl/sharedStrings.xml><?xml version="1.0" encoding="utf-8"?>
<sst xmlns="http://schemas.openxmlformats.org/spreadsheetml/2006/main" count="128" uniqueCount="65">
  <si>
    <t>Item</t>
  </si>
  <si>
    <t>Description</t>
  </si>
  <si>
    <t>Unit</t>
  </si>
  <si>
    <t>Qty</t>
  </si>
  <si>
    <t>Remarks</t>
  </si>
  <si>
    <t>FLANGES</t>
  </si>
  <si>
    <t>Nos.</t>
  </si>
  <si>
    <t>EQUAL TEES</t>
  </si>
  <si>
    <t>OLETS</t>
  </si>
  <si>
    <t>REDUCERS</t>
  </si>
  <si>
    <t>ELBOWS</t>
  </si>
  <si>
    <t>Mtrs</t>
  </si>
  <si>
    <t>SPECTACLE BLIND</t>
  </si>
  <si>
    <t>Size</t>
  </si>
  <si>
    <t>STRUCTURAL BOM</t>
  </si>
  <si>
    <t>MARK</t>
  </si>
  <si>
    <t>QTY</t>
  </si>
  <si>
    <t>DESCRIPTION</t>
  </si>
  <si>
    <t>LENGTH</t>
  </si>
  <si>
    <t>Total(Kg)</t>
  </si>
  <si>
    <t>GRATING BOM</t>
  </si>
  <si>
    <t>Grating -  Hot dipped Galv.</t>
  </si>
  <si>
    <t>Instrument support BOM</t>
  </si>
  <si>
    <t>-</t>
  </si>
  <si>
    <t>Instrument stand</t>
  </si>
  <si>
    <t>TOTAL</t>
  </si>
  <si>
    <t>PIPE</t>
  </si>
  <si>
    <t>WEIGHT(Kg)</t>
  </si>
  <si>
    <t>Single JB support.</t>
  </si>
  <si>
    <t>Double JB support.</t>
  </si>
  <si>
    <t>2"</t>
  </si>
  <si>
    <t xml:space="preserve"> Class</t>
  </si>
  <si>
    <t>WELD-O-LET, MSS SP-97, ASTM B564 UNS N08825, NACE  MR0175/ISO15156</t>
  </si>
  <si>
    <t xml:space="preserve">PIPE, SMLS, BE, SCH 40S, ASME B36.19M, ASTM B423 UNS N08825, NACE MR0175/ISO15156 </t>
  </si>
  <si>
    <t>20"</t>
  </si>
  <si>
    <t>24"</t>
  </si>
  <si>
    <t>24"x20"</t>
  </si>
  <si>
    <t>20"x2"</t>
  </si>
  <si>
    <t>24"x2"</t>
  </si>
  <si>
    <t>FLG WELD NECK, SCH 40S, WN, RTJ, ASME B16.5, ASTM B564 UNS N08825, NACE MR0175/ISO15156</t>
  </si>
  <si>
    <t xml:space="preserve">EQUAL TEE, BW, ASME B16.9, WELDED(100%RT), ASTM A420 GR WPL6W CLAD UNS N08825, NACE MR0175/ISO15156 </t>
  </si>
  <si>
    <t xml:space="preserve">REDUCER CONC, BW, ASME B16.9, WELDED(100%RT), ASTM A420 GR WPL6W CLAD UNS N08825, NACE MR0175/ISO15156 </t>
  </si>
  <si>
    <t xml:space="preserve">90 LR ELL, BW, ASME B16.9, LR SMLS, ASTM B366 GR WPNICMC-S, NACE MR0175/ISO15156 </t>
  </si>
  <si>
    <t>90 LR ELL, BW, ASME B16.9, WELDED(100%RT), ASTM A420 GR WPL6W CLAD UNS N08825, NACE MR0175/ISO15156</t>
  </si>
  <si>
    <t>CL 600</t>
  </si>
  <si>
    <t>SPACER &amp; BLANK, RTJ, ASME B16.48, ASTM A516 GR 70 S5 CLAD UNS N08825, to suit ASME B16.5 NACE MR0175/ISO15156</t>
  </si>
  <si>
    <t>SPECTACLE BLIND, RTJ, ASME B16.48, ASTM A424 UNS N08825, NACE MR0175/ISO15156</t>
  </si>
  <si>
    <t>CE3L0C-JX</t>
  </si>
  <si>
    <t xml:space="preserve">PIPE, SMLS, BE, SCH 80, ASME B36.10M, EFW(100% RT) ASTM A671 GR CC65 CL22 S2 CLAD UNS N08825, NACE MR0175/ISO15156 </t>
  </si>
  <si>
    <t>GAS FLOW METERING SYSTEMS CW ONLINE ANALYZERS</t>
  </si>
  <si>
    <t>FLG BLIND, SCH 40S, WN, RTJ, ASME B16.5, ASTM B564 UNS N08825, NACE MR0175/ISO15156</t>
  </si>
  <si>
    <t>FLG WELD NECK, SCH 80, WN, RTJ, ASME B16.5, ASTM B350 GR LF2 CL1 CLAD UNS N08825, NACE MR0175/ISO15156</t>
  </si>
  <si>
    <t>FLG BLIND, SCH 80, WN, RTJ, ASME B16.5, ASTM B350 GR LF2 CL1 CLAD UNS N08825, NACE MR0175/ISO15156</t>
  </si>
  <si>
    <t>16 m X 6 m</t>
  </si>
  <si>
    <t>14 m X 6 m</t>
  </si>
  <si>
    <t>626-05-D1-R1 BOQ SINGLE VALVE</t>
  </si>
  <si>
    <t>20"x3"</t>
  </si>
  <si>
    <t>20"x1 1/2"</t>
  </si>
  <si>
    <t>3"</t>
  </si>
  <si>
    <t>1"</t>
  </si>
  <si>
    <t>FLG WELD NECK, SCH 80S, WN, RTJ, ASME B16.5, ASTM B564 UNS N08825, NACE MR0175/ISO15156</t>
  </si>
  <si>
    <t>3/4"</t>
  </si>
  <si>
    <t>UC254x254x132</t>
  </si>
  <si>
    <t>platform and others</t>
  </si>
  <si>
    <t>Total weight for structural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</si>
</sst>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u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b/>
      <sz val="10"/>
      <color theme="1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u/>
      <sz val="10"/>
      <color theme="1"/>
      <name val="Arial"/>
      <family val="2"/>
    </font>
    <font>
      <sz val="10"/>
      <name val="MS Sans Serif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0" borderId="0"/>
  </cellStyleXfs>
  <cellXfs count="5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2" xfId="0" quotePrefix="1" applyFont="1" applyBorder="1"/>
    <xf numFmtId="0" fontId="7" fillId="0" borderId="2" xfId="0" quotePrefix="1" applyFont="1" applyBorder="1" applyAlignment="1">
      <alignment horizontal="left" vertical="center"/>
    </xf>
    <xf numFmtId="0" fontId="7" fillId="0" borderId="2" xfId="0" quotePrefix="1" applyFont="1" applyBorder="1" applyAlignment="1">
      <alignment vertical="center"/>
    </xf>
    <xf numFmtId="0" fontId="7" fillId="2" borderId="2" xfId="0" quotePrefix="1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" fontId="7" fillId="0" borderId="2" xfId="0" quotePrefix="1" applyNumberFormat="1" applyFont="1" applyBorder="1" applyAlignment="1">
      <alignment vertical="center"/>
    </xf>
    <xf numFmtId="0" fontId="0" fillId="0" borderId="2" xfId="0" applyBorder="1"/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/>
    </xf>
    <xf numFmtId="0" fontId="0" fillId="0" borderId="2" xfId="0" applyNumberFormat="1" applyBorder="1"/>
    <xf numFmtId="1" fontId="0" fillId="0" borderId="2" xfId="0" applyNumberFormat="1" applyBorder="1"/>
    <xf numFmtId="1" fontId="0" fillId="0" borderId="0" xfId="0" applyNumberFormat="1"/>
    <xf numFmtId="0" fontId="0" fillId="0" borderId="17" xfId="0" quotePrefix="1" applyNumberFormat="1" applyFill="1" applyBorder="1"/>
    <xf numFmtId="0" fontId="0" fillId="0" borderId="18" xfId="0" quotePrefix="1" applyNumberFormat="1" applyFill="1" applyBorder="1" applyAlignment="1">
      <alignment horizontal="center"/>
    </xf>
    <xf numFmtId="0" fontId="1" fillId="0" borderId="18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vertical="center"/>
    </xf>
    <xf numFmtId="0" fontId="1" fillId="0" borderId="9" xfId="0" applyFont="1" applyBorder="1" applyAlignment="1">
      <alignment horizontal="center"/>
    </xf>
    <xf numFmtId="0" fontId="0" fillId="3" borderId="2" xfId="0" quotePrefix="1" applyNumberFormat="1" applyFill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quotePrefix="1" applyNumberFormat="1" applyFill="1" applyBorder="1" applyAlignment="1">
      <alignment horizontal="center"/>
    </xf>
    <xf numFmtId="0" fontId="0" fillId="3" borderId="0" xfId="0" quotePrefix="1" applyNumberFormat="1" applyFill="1" applyAlignment="1">
      <alignment horizontal="center"/>
    </xf>
    <xf numFmtId="0" fontId="10" fillId="3" borderId="2" xfId="3" quotePrefix="1" applyNumberFormat="1" applyFont="1" applyFill="1" applyBorder="1"/>
    <xf numFmtId="0" fontId="0" fillId="3" borderId="3" xfId="0" quotePrefix="1" applyNumberFormat="1" applyFill="1" applyBorder="1"/>
    <xf numFmtId="0" fontId="7" fillId="0" borderId="0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0" borderId="3" xfId="0" quotePrefix="1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CV76"/>
  <sheetViews>
    <sheetView zoomScale="85" zoomScaleNormal="85" workbookViewId="0">
      <selection activeCell="F26" sqref="F26"/>
    </sheetView>
  </sheetViews>
  <sheetFormatPr defaultColWidth="9" defaultRowHeight="19.95" customHeight="1"/>
  <cols>
    <col min="1" max="1" width="9.33203125" style="4" customWidth="1"/>
    <col min="2" max="2" width="16" style="4" customWidth="1"/>
    <col min="3" max="3" width="110.5546875" style="4" customWidth="1"/>
    <col min="4" max="4" width="11.88671875" style="6" customWidth="1"/>
    <col min="5" max="5" width="9" style="6"/>
    <col min="6" max="6" width="9" style="6" customWidth="1"/>
    <col min="7" max="7" width="11.88671875" style="4" customWidth="1"/>
    <col min="8" max="11" width="9" style="4"/>
    <col min="12" max="12" width="9" style="4" customWidth="1"/>
    <col min="13" max="16324" width="9" style="4"/>
    <col min="16325" max="16384" width="9" style="5"/>
  </cols>
  <sheetData>
    <row r="1" spans="1:7" ht="13.5" customHeight="1" thickBot="1"/>
    <row r="2" spans="1:7" ht="19.95" customHeight="1">
      <c r="A2" s="40" t="s">
        <v>49</v>
      </c>
      <c r="B2" s="41"/>
      <c r="C2" s="41"/>
      <c r="D2" s="41"/>
      <c r="E2" s="41"/>
      <c r="F2" s="41"/>
      <c r="G2" s="42"/>
    </row>
    <row r="3" spans="1:7" ht="19.95" customHeight="1">
      <c r="A3" s="50" t="s">
        <v>55</v>
      </c>
      <c r="B3" s="51"/>
      <c r="C3" s="51"/>
      <c r="D3" s="51"/>
      <c r="E3" s="51"/>
      <c r="F3" s="51"/>
      <c r="G3" s="52"/>
    </row>
    <row r="4" spans="1:7" ht="24" customHeight="1">
      <c r="A4" s="16" t="s">
        <v>0</v>
      </c>
      <c r="B4" s="1" t="s">
        <v>31</v>
      </c>
      <c r="C4" s="1" t="s">
        <v>1</v>
      </c>
      <c r="D4" s="1" t="s">
        <v>13</v>
      </c>
      <c r="E4" s="1" t="s">
        <v>2</v>
      </c>
      <c r="F4" s="2" t="s">
        <v>3</v>
      </c>
      <c r="G4" s="17" t="s">
        <v>4</v>
      </c>
    </row>
    <row r="5" spans="1:7" ht="19.95" customHeight="1">
      <c r="A5" s="53" t="s">
        <v>5</v>
      </c>
      <c r="B5" s="54"/>
      <c r="C5" s="54"/>
      <c r="D5" s="54"/>
      <c r="E5" s="54"/>
      <c r="F5" s="54"/>
      <c r="G5" s="55"/>
    </row>
    <row r="6" spans="1:7" ht="20.100000000000001" customHeight="1">
      <c r="A6" s="31">
        <v>1</v>
      </c>
      <c r="B6" s="3" t="s">
        <v>44</v>
      </c>
      <c r="C6" s="32" t="s">
        <v>60</v>
      </c>
      <c r="D6" s="35" t="s">
        <v>59</v>
      </c>
      <c r="E6" s="33" t="s">
        <v>6</v>
      </c>
      <c r="F6" s="35">
        <v>6</v>
      </c>
      <c r="G6" s="22"/>
    </row>
    <row r="7" spans="1:7" ht="20.100000000000001" customHeight="1">
      <c r="A7" s="31">
        <v>1</v>
      </c>
      <c r="B7" s="3" t="s">
        <v>44</v>
      </c>
      <c r="C7" s="32" t="s">
        <v>39</v>
      </c>
      <c r="D7" s="35" t="s">
        <v>30</v>
      </c>
      <c r="E7" s="33" t="s">
        <v>6</v>
      </c>
      <c r="F7" s="35">
        <v>45</v>
      </c>
      <c r="G7" s="22"/>
    </row>
    <row r="8" spans="1:7" ht="20.100000000000001" customHeight="1">
      <c r="A8" s="31">
        <v>1</v>
      </c>
      <c r="B8" s="3" t="s">
        <v>44</v>
      </c>
      <c r="C8" s="32" t="s">
        <v>39</v>
      </c>
      <c r="D8" s="35" t="s">
        <v>58</v>
      </c>
      <c r="E8" s="33" t="s">
        <v>6</v>
      </c>
      <c r="F8" s="35">
        <v>45</v>
      </c>
      <c r="G8" s="22"/>
    </row>
    <row r="9" spans="1:7" ht="19.95" customHeight="1">
      <c r="A9" s="18">
        <v>2</v>
      </c>
      <c r="B9" s="3" t="s">
        <v>44</v>
      </c>
      <c r="C9" s="32" t="s">
        <v>51</v>
      </c>
      <c r="D9" s="35" t="s">
        <v>34</v>
      </c>
      <c r="E9" s="34" t="s">
        <v>6</v>
      </c>
      <c r="F9" s="35">
        <v>28</v>
      </c>
      <c r="G9" s="22"/>
    </row>
    <row r="10" spans="1:7" ht="19.95" customHeight="1">
      <c r="A10" s="18">
        <v>3</v>
      </c>
      <c r="B10" s="3" t="s">
        <v>44</v>
      </c>
      <c r="C10" s="32" t="s">
        <v>51</v>
      </c>
      <c r="D10" s="35" t="s">
        <v>35</v>
      </c>
      <c r="E10" s="34" t="s">
        <v>6</v>
      </c>
      <c r="F10" s="35">
        <v>2</v>
      </c>
      <c r="G10" s="22"/>
    </row>
    <row r="11" spans="1:7" ht="27" customHeight="1">
      <c r="A11" s="31">
        <v>1</v>
      </c>
      <c r="B11" s="3" t="s">
        <v>44</v>
      </c>
      <c r="C11" s="32" t="s">
        <v>50</v>
      </c>
      <c r="D11" s="35" t="s">
        <v>30</v>
      </c>
      <c r="E11" s="33" t="s">
        <v>6</v>
      </c>
      <c r="F11" s="35">
        <v>4</v>
      </c>
      <c r="G11" s="22"/>
    </row>
    <row r="12" spans="1:7" ht="19.95" customHeight="1">
      <c r="A12" s="18">
        <v>3</v>
      </c>
      <c r="B12" s="3" t="s">
        <v>44</v>
      </c>
      <c r="C12" s="32" t="s">
        <v>52</v>
      </c>
      <c r="D12" s="35" t="s">
        <v>35</v>
      </c>
      <c r="E12" s="34" t="s">
        <v>6</v>
      </c>
      <c r="F12" s="35">
        <v>2</v>
      </c>
      <c r="G12" s="22"/>
    </row>
    <row r="13" spans="1:7" ht="19.95" customHeight="1">
      <c r="A13" s="47" t="s">
        <v>7</v>
      </c>
      <c r="B13" s="48"/>
      <c r="C13" s="48"/>
      <c r="D13" s="48"/>
      <c r="E13" s="48"/>
      <c r="F13" s="48"/>
      <c r="G13" s="49"/>
    </row>
    <row r="14" spans="1:7" ht="19.5" customHeight="1">
      <c r="A14" s="18">
        <v>9</v>
      </c>
      <c r="B14" s="3"/>
      <c r="C14" s="32" t="s">
        <v>40</v>
      </c>
      <c r="D14" s="35" t="s">
        <v>30</v>
      </c>
      <c r="E14" s="34" t="s">
        <v>6</v>
      </c>
      <c r="F14" s="35">
        <v>12</v>
      </c>
      <c r="G14" s="22"/>
    </row>
    <row r="15" spans="1:7" ht="19.5" customHeight="1">
      <c r="A15" s="18">
        <v>9</v>
      </c>
      <c r="B15" s="3"/>
      <c r="C15" s="32" t="s">
        <v>40</v>
      </c>
      <c r="D15" s="35" t="s">
        <v>58</v>
      </c>
      <c r="E15" s="34" t="s">
        <v>6</v>
      </c>
      <c r="F15" s="35">
        <v>5</v>
      </c>
      <c r="G15" s="22"/>
    </row>
    <row r="16" spans="1:7" ht="19.5" customHeight="1">
      <c r="A16" s="18">
        <v>9</v>
      </c>
      <c r="B16" s="3"/>
      <c r="C16" s="32" t="s">
        <v>40</v>
      </c>
      <c r="D16" s="35" t="s">
        <v>34</v>
      </c>
      <c r="E16" s="34" t="s">
        <v>6</v>
      </c>
      <c r="F16" s="35">
        <v>4</v>
      </c>
      <c r="G16" s="22"/>
    </row>
    <row r="17" spans="1:7" ht="19.95" customHeight="1">
      <c r="A17" s="47" t="s">
        <v>8</v>
      </c>
      <c r="B17" s="48"/>
      <c r="C17" s="48"/>
      <c r="D17" s="48"/>
      <c r="E17" s="48"/>
      <c r="F17" s="48"/>
      <c r="G17" s="49"/>
    </row>
    <row r="18" spans="1:7" ht="19.95" customHeight="1">
      <c r="A18" s="18">
        <v>15</v>
      </c>
      <c r="B18" s="3"/>
      <c r="C18" s="32" t="s">
        <v>32</v>
      </c>
      <c r="D18" s="35" t="s">
        <v>57</v>
      </c>
      <c r="E18" s="34" t="s">
        <v>6</v>
      </c>
      <c r="F18" s="35">
        <v>6</v>
      </c>
      <c r="G18" s="19"/>
    </row>
    <row r="19" spans="1:7" ht="19.95" customHeight="1">
      <c r="A19" s="18">
        <v>15</v>
      </c>
      <c r="B19" s="3"/>
      <c r="C19" s="32" t="s">
        <v>32</v>
      </c>
      <c r="D19" s="35" t="s">
        <v>37</v>
      </c>
      <c r="E19" s="34" t="s">
        <v>6</v>
      </c>
      <c r="F19" s="35">
        <v>15</v>
      </c>
      <c r="G19" s="19"/>
    </row>
    <row r="20" spans="1:7" ht="19.95" customHeight="1">
      <c r="A20" s="18">
        <v>15</v>
      </c>
      <c r="B20" s="3"/>
      <c r="C20" s="32" t="s">
        <v>32</v>
      </c>
      <c r="D20" s="35" t="s">
        <v>56</v>
      </c>
      <c r="E20" s="34" t="s">
        <v>6</v>
      </c>
      <c r="F20" s="35">
        <v>2</v>
      </c>
      <c r="G20" s="19"/>
    </row>
    <row r="21" spans="1:7" ht="19.95" customHeight="1">
      <c r="A21" s="18">
        <v>15</v>
      </c>
      <c r="B21" s="3"/>
      <c r="C21" s="32" t="s">
        <v>32</v>
      </c>
      <c r="D21" s="35" t="s">
        <v>38</v>
      </c>
      <c r="E21" s="34" t="s">
        <v>6</v>
      </c>
      <c r="F21" s="35">
        <v>7</v>
      </c>
      <c r="G21" s="19"/>
    </row>
    <row r="22" spans="1:7" ht="19.95" customHeight="1">
      <c r="A22" s="47" t="s">
        <v>9</v>
      </c>
      <c r="B22" s="48"/>
      <c r="C22" s="48"/>
      <c r="D22" s="48"/>
      <c r="E22" s="48"/>
      <c r="F22" s="48"/>
      <c r="G22" s="49"/>
    </row>
    <row r="23" spans="1:7" ht="19.95" customHeight="1">
      <c r="A23" s="18">
        <v>20</v>
      </c>
      <c r="B23" s="3"/>
      <c r="C23" s="32" t="s">
        <v>41</v>
      </c>
      <c r="D23" s="36" t="s">
        <v>36</v>
      </c>
      <c r="E23" s="34" t="s">
        <v>6</v>
      </c>
      <c r="F23" s="36">
        <v>2</v>
      </c>
      <c r="G23" s="19"/>
    </row>
    <row r="24" spans="1:7" ht="19.95" customHeight="1">
      <c r="A24" s="47" t="s">
        <v>10</v>
      </c>
      <c r="B24" s="48"/>
      <c r="C24" s="48"/>
      <c r="D24" s="48"/>
      <c r="E24" s="48"/>
      <c r="F24" s="48"/>
      <c r="G24" s="49"/>
    </row>
    <row r="25" spans="1:7" ht="19.95" customHeight="1">
      <c r="A25" s="18">
        <v>18</v>
      </c>
      <c r="B25" s="3"/>
      <c r="C25" s="32" t="s">
        <v>42</v>
      </c>
      <c r="D25" s="35" t="s">
        <v>61</v>
      </c>
      <c r="E25" s="34" t="s">
        <v>6</v>
      </c>
      <c r="F25" s="35">
        <v>6</v>
      </c>
      <c r="G25" s="19"/>
    </row>
    <row r="26" spans="1:7" ht="19.95" customHeight="1">
      <c r="A26" s="18">
        <v>18</v>
      </c>
      <c r="B26" s="3"/>
      <c r="C26" s="32" t="s">
        <v>42</v>
      </c>
      <c r="D26" s="35" t="s">
        <v>30</v>
      </c>
      <c r="E26" s="34" t="s">
        <v>6</v>
      </c>
      <c r="F26" s="35">
        <v>15</v>
      </c>
      <c r="G26" s="19"/>
    </row>
    <row r="27" spans="1:7" ht="19.95" customHeight="1">
      <c r="A27" s="18">
        <v>18</v>
      </c>
      <c r="B27" s="3"/>
      <c r="C27" s="32" t="s">
        <v>42</v>
      </c>
      <c r="D27" s="35" t="s">
        <v>58</v>
      </c>
      <c r="E27" s="34" t="s">
        <v>6</v>
      </c>
      <c r="F27" s="35">
        <v>10</v>
      </c>
      <c r="G27" s="19"/>
    </row>
    <row r="28" spans="1:7" ht="19.95" customHeight="1">
      <c r="A28" s="18">
        <v>18</v>
      </c>
      <c r="B28" s="3"/>
      <c r="C28" s="32" t="s">
        <v>43</v>
      </c>
      <c r="D28" s="35" t="s">
        <v>34</v>
      </c>
      <c r="E28" s="34" t="s">
        <v>6</v>
      </c>
      <c r="F28" s="35">
        <v>6</v>
      </c>
      <c r="G28" s="19"/>
    </row>
    <row r="29" spans="1:7" ht="19.95" customHeight="1">
      <c r="A29" s="43" t="s">
        <v>12</v>
      </c>
      <c r="B29" s="44"/>
      <c r="C29" s="46"/>
      <c r="D29" s="46"/>
      <c r="E29" s="46"/>
      <c r="F29" s="46"/>
      <c r="G29" s="45"/>
    </row>
    <row r="30" spans="1:7" ht="19.95" customHeight="1">
      <c r="A30" s="18">
        <v>21</v>
      </c>
      <c r="B30" s="34" t="s">
        <v>44</v>
      </c>
      <c r="C30" s="37" t="s">
        <v>46</v>
      </c>
      <c r="D30" s="35" t="s">
        <v>30</v>
      </c>
      <c r="E30" s="34" t="s">
        <v>6</v>
      </c>
      <c r="F30" s="35">
        <v>6</v>
      </c>
      <c r="G30" s="19"/>
    </row>
    <row r="31" spans="1:7" ht="19.95" customHeight="1">
      <c r="A31" s="18">
        <v>21</v>
      </c>
      <c r="B31" s="34" t="s">
        <v>44</v>
      </c>
      <c r="C31" s="37" t="s">
        <v>46</v>
      </c>
      <c r="D31" s="35" t="s">
        <v>58</v>
      </c>
      <c r="E31" s="34" t="s">
        <v>6</v>
      </c>
      <c r="F31" s="35">
        <v>1</v>
      </c>
      <c r="G31" s="19"/>
    </row>
    <row r="32" spans="1:7" ht="19.95" customHeight="1">
      <c r="A32" s="18">
        <v>21</v>
      </c>
      <c r="B32" s="34" t="s">
        <v>44</v>
      </c>
      <c r="C32" s="37" t="s">
        <v>45</v>
      </c>
      <c r="D32" s="35" t="s">
        <v>34</v>
      </c>
      <c r="E32" s="34" t="s">
        <v>6</v>
      </c>
      <c r="F32" s="35">
        <v>6</v>
      </c>
      <c r="G32" s="19"/>
    </row>
    <row r="33" spans="1:8" ht="19.95" customHeight="1">
      <c r="A33" s="43" t="s">
        <v>26</v>
      </c>
      <c r="B33" s="44"/>
      <c r="C33" s="44"/>
      <c r="D33" s="44"/>
      <c r="E33" s="44"/>
      <c r="F33" s="44"/>
      <c r="G33" s="45"/>
    </row>
    <row r="34" spans="1:8" ht="19.95" customHeight="1">
      <c r="A34" s="18">
        <v>22</v>
      </c>
      <c r="B34" s="21" t="s">
        <v>47</v>
      </c>
      <c r="C34" s="38" t="s">
        <v>33</v>
      </c>
      <c r="D34" s="35" t="s">
        <v>30</v>
      </c>
      <c r="E34" s="34" t="s">
        <v>11</v>
      </c>
      <c r="F34" s="35">
        <v>8</v>
      </c>
      <c r="G34" s="22"/>
    </row>
    <row r="35" spans="1:8" ht="19.95" customHeight="1">
      <c r="A35" s="18">
        <v>22</v>
      </c>
      <c r="B35" s="21" t="s">
        <v>47</v>
      </c>
      <c r="C35" s="38" t="s">
        <v>48</v>
      </c>
      <c r="D35" s="35" t="s">
        <v>34</v>
      </c>
      <c r="E35" s="34" t="s">
        <v>11</v>
      </c>
      <c r="F35" s="35">
        <v>40</v>
      </c>
      <c r="G35" s="22"/>
    </row>
    <row r="36" spans="1:8" ht="19.95" customHeight="1">
      <c r="A36" s="18">
        <v>22</v>
      </c>
      <c r="B36" s="21" t="s">
        <v>47</v>
      </c>
      <c r="C36" s="38" t="s">
        <v>48</v>
      </c>
      <c r="D36" s="35" t="s">
        <v>35</v>
      </c>
      <c r="E36" s="34" t="s">
        <v>11</v>
      </c>
      <c r="F36" s="35">
        <v>3</v>
      </c>
      <c r="G36" s="22"/>
    </row>
    <row r="37" spans="1:8" ht="15" customHeight="1" thickBot="1">
      <c r="A37" s="20"/>
      <c r="B37" s="29"/>
      <c r="C37" s="26"/>
      <c r="D37" s="27"/>
      <c r="E37" s="28"/>
      <c r="F37" s="27"/>
      <c r="G37" s="30"/>
    </row>
    <row r="38" spans="1:8" ht="15" customHeight="1"/>
    <row r="39" spans="1:8" ht="15" customHeight="1">
      <c r="B39" s="12"/>
      <c r="C39" s="12"/>
      <c r="D39" s="13"/>
      <c r="E39" s="13"/>
      <c r="F39" s="13"/>
      <c r="G39" s="12"/>
      <c r="H39" s="5"/>
    </row>
    <row r="40" spans="1:8" ht="15" customHeight="1">
      <c r="B40" s="12"/>
      <c r="C40" s="12"/>
      <c r="D40" s="13"/>
      <c r="E40" s="13"/>
      <c r="F40" s="13"/>
      <c r="G40" s="12"/>
      <c r="H40" s="5"/>
    </row>
    <row r="41" spans="1:8" ht="15" customHeight="1">
      <c r="B41" s="12"/>
      <c r="C41" s="12"/>
      <c r="D41" s="13"/>
      <c r="E41" s="13"/>
      <c r="F41" s="13"/>
      <c r="G41" s="12"/>
      <c r="H41" s="5"/>
    </row>
    <row r="42" spans="1:8" ht="15" customHeight="1">
      <c r="B42" s="12"/>
      <c r="C42" s="12"/>
      <c r="D42" s="13"/>
      <c r="E42" s="13"/>
      <c r="F42" s="13"/>
      <c r="G42" s="12"/>
    </row>
    <row r="43" spans="1:8" ht="15" customHeight="1"/>
    <row r="44" spans="1:8" ht="15" customHeight="1"/>
    <row r="45" spans="1:8" ht="15" customHeight="1"/>
    <row r="46" spans="1:8" ht="15" customHeight="1"/>
    <row r="47" spans="1:8" ht="15" customHeight="1"/>
    <row r="48" spans="1: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mergeCells count="9">
    <mergeCell ref="A2:G2"/>
    <mergeCell ref="A33:G33"/>
    <mergeCell ref="A29:G29"/>
    <mergeCell ref="A22:G22"/>
    <mergeCell ref="A24:G24"/>
    <mergeCell ref="A3:G3"/>
    <mergeCell ref="A5:G5"/>
    <mergeCell ref="A13:G13"/>
    <mergeCell ref="A17:G17"/>
  </mergeCells>
  <pageMargins left="0.3" right="0.7" top="0.21" bottom="0.2" header="0.17" footer="0.17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1"/>
  <sheetViews>
    <sheetView tabSelected="1" zoomScale="85" zoomScaleNormal="85" workbookViewId="0">
      <selection activeCell="F21" sqref="F21"/>
    </sheetView>
  </sheetViews>
  <sheetFormatPr defaultRowHeight="14.4"/>
  <cols>
    <col min="4" max="4" width="29.44140625" bestFit="1" customWidth="1"/>
    <col min="5" max="5" width="16" bestFit="1" customWidth="1"/>
    <col min="6" max="6" width="12.6640625" bestFit="1" customWidth="1"/>
    <col min="12" max="12" width="9.5546875" bestFit="1" customWidth="1"/>
  </cols>
  <sheetData>
    <row r="3" spans="2:12" ht="15.6">
      <c r="B3" s="56" t="s">
        <v>14</v>
      </c>
      <c r="C3" s="57"/>
      <c r="D3" s="57"/>
      <c r="E3" s="57"/>
      <c r="F3" s="58"/>
    </row>
    <row r="4" spans="2:12" ht="15.6">
      <c r="B4" s="7" t="s">
        <v>15</v>
      </c>
      <c r="C4" s="7" t="s">
        <v>16</v>
      </c>
      <c r="D4" s="7" t="s">
        <v>17</v>
      </c>
      <c r="E4" s="7" t="s">
        <v>18</v>
      </c>
      <c r="F4" s="7" t="s">
        <v>27</v>
      </c>
    </row>
    <row r="5" spans="2:12" ht="15.6">
      <c r="B5" s="8">
        <v>1</v>
      </c>
      <c r="C5" s="23">
        <v>1</v>
      </c>
      <c r="D5" s="15" t="s">
        <v>62</v>
      </c>
      <c r="E5" s="15">
        <v>160</v>
      </c>
      <c r="F5" s="24">
        <f>E5*132</f>
        <v>21120</v>
      </c>
      <c r="L5" s="25"/>
    </row>
    <row r="6" spans="2:12" ht="15.6">
      <c r="B6" s="8"/>
      <c r="C6" s="23"/>
      <c r="D6" s="15" t="s">
        <v>63</v>
      </c>
      <c r="E6" s="15"/>
      <c r="F6" s="24">
        <v>5000</v>
      </c>
      <c r="L6" s="25"/>
    </row>
    <row r="7" spans="2:12" ht="15.6">
      <c r="B7" s="9"/>
      <c r="C7" s="9"/>
      <c r="D7" s="9"/>
      <c r="E7" s="11" t="s">
        <v>25</v>
      </c>
      <c r="F7" s="14">
        <f>SUM(F5:F6)</f>
        <v>26120</v>
      </c>
    </row>
    <row r="9" spans="2:12" ht="15.6">
      <c r="B9" s="56" t="s">
        <v>20</v>
      </c>
      <c r="C9" s="57"/>
      <c r="D9" s="57"/>
      <c r="E9" s="57"/>
      <c r="F9" s="58"/>
    </row>
    <row r="10" spans="2:12" ht="15.6">
      <c r="B10" s="8">
        <v>1</v>
      </c>
      <c r="C10" s="8">
        <v>1</v>
      </c>
      <c r="D10" s="9" t="s">
        <v>21</v>
      </c>
      <c r="E10" s="9" t="s">
        <v>53</v>
      </c>
      <c r="F10" s="10">
        <f>25*(16*6)</f>
        <v>2400</v>
      </c>
    </row>
    <row r="11" spans="2:12" ht="15.6">
      <c r="B11" s="8">
        <v>2</v>
      </c>
      <c r="C11" s="8">
        <v>1</v>
      </c>
      <c r="D11" s="9" t="s">
        <v>21</v>
      </c>
      <c r="E11" s="9" t="s">
        <v>54</v>
      </c>
      <c r="F11" s="10">
        <f>25*(14*6)</f>
        <v>2100</v>
      </c>
    </row>
    <row r="12" spans="2:12" ht="15.6">
      <c r="B12" s="8"/>
      <c r="C12" s="9"/>
      <c r="D12" s="9"/>
      <c r="E12" s="9" t="s">
        <v>19</v>
      </c>
      <c r="F12" s="10">
        <f>SUM(F10:F11)</f>
        <v>4500</v>
      </c>
    </row>
    <row r="15" spans="2:12" ht="15.6">
      <c r="B15" s="56" t="s">
        <v>22</v>
      </c>
      <c r="C15" s="57"/>
      <c r="D15" s="57"/>
      <c r="E15" s="57"/>
      <c r="F15" s="58"/>
    </row>
    <row r="16" spans="2:12" ht="15.6">
      <c r="B16" s="8">
        <v>1</v>
      </c>
      <c r="C16" s="8">
        <v>2</v>
      </c>
      <c r="D16" s="9" t="s">
        <v>28</v>
      </c>
      <c r="E16" s="9" t="s">
        <v>23</v>
      </c>
      <c r="F16" s="9">
        <f>C16*200</f>
        <v>400</v>
      </c>
    </row>
    <row r="17" spans="2:6" ht="15.6">
      <c r="B17" s="8">
        <v>2</v>
      </c>
      <c r="C17" s="8">
        <v>2</v>
      </c>
      <c r="D17" s="9" t="s">
        <v>29</v>
      </c>
      <c r="E17" s="9" t="s">
        <v>23</v>
      </c>
      <c r="F17" s="9">
        <f>C17*350</f>
        <v>700</v>
      </c>
    </row>
    <row r="18" spans="2:6" ht="15.6">
      <c r="B18" s="8">
        <v>3</v>
      </c>
      <c r="C18" s="8">
        <v>10</v>
      </c>
      <c r="D18" s="9" t="s">
        <v>24</v>
      </c>
      <c r="E18" s="9" t="s">
        <v>23</v>
      </c>
      <c r="F18" s="9">
        <v>1000</v>
      </c>
    </row>
    <row r="19" spans="2:6" ht="15.6">
      <c r="B19" s="8"/>
      <c r="C19" s="9"/>
      <c r="D19" s="9"/>
      <c r="E19" s="9" t="s">
        <v>19</v>
      </c>
      <c r="F19" s="9">
        <f>SUM(F16:F18)</f>
        <v>2100</v>
      </c>
    </row>
    <row r="21" spans="2:6" ht="31.2">
      <c r="E21" s="39" t="s">
        <v>64</v>
      </c>
      <c r="F21" s="25">
        <f>F7+F12+F19</f>
        <v>32720</v>
      </c>
    </row>
  </sheetData>
  <mergeCells count="3">
    <mergeCell ref="B3:F3"/>
    <mergeCell ref="B9:F9"/>
    <mergeCell ref="B15:F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PIPE-BOM</vt:lpstr>
      <vt:lpstr>STR- BOM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Administratr</dc:creator>
  <cp:lastModifiedBy>Khalees</cp:lastModifiedBy>
  <cp:lastPrinted>2025-11-13T10:37:29Z</cp:lastPrinted>
  <dcterms:created xsi:type="dcterms:W3CDTF">2011-07-04T10:34:00Z</dcterms:created>
  <dcterms:modified xsi:type="dcterms:W3CDTF">2025-12-09T08:11:57Z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985755141D5D4F2FAC90AF9D49C29C37_12</vt:lpwstr>
  </property>
  <property fmtid="{D5CDD505-2E9C-101B-9397-08002B2CF9AE}" pid="3" name="KSOProductBuildVer">
    <vt:lpwstr>2052-12.1.0.18608</vt:lpwstr>
  </property>
</Properties>
</file>