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5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164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43" fontId="0" fillId="0" borderId="0" pivotButton="0" quotePrefix="0" xfId="0"/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JOB-20260422-ADF01C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2026-04-22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JOB-20260422-ADF01C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09" t="n">
        <v>0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1" t="inlineStr">
        <is>
          <t>Paint Material</t>
        </is>
      </c>
      <c r="C25" s="212" t="n"/>
      <c r="D25" s="212" t="n"/>
      <c r="E25" s="212" t="n"/>
      <c r="F25" s="213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4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5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6" t="inlineStr">
        <is>
          <t>Structural Welding consumables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7" t="n">
        <v>80.40000000000001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6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inlineStr"/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18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1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1" t="n"/>
    </row>
    <row r="37" ht="15" customHeight="1">
      <c r="A37" s="29" t="n">
        <v>10.1</v>
      </c>
      <c r="B37" s="216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(0.00 Sq M)</t>
        </is>
      </c>
      <c r="C40" s="205" t="n"/>
      <c r="D40" s="205" t="n"/>
      <c r="E40" s="205" t="n"/>
      <c r="F40" s="205" t="n"/>
      <c r="G40" s="220" t="inlineStr"/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 (0.00 Sq M)</t>
        </is>
      </c>
      <c r="C41" s="205" t="n"/>
      <c r="D41" s="205" t="n"/>
      <c r="E41" s="205" t="n"/>
      <c r="F41" s="205" t="n"/>
      <c r="G41" s="220" t="inlineStr"/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2" t="n">
        <v>3873.9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3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4" t="n">
        <v>464.87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5" t="n">
        <v>4338.77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6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5" t="n">
        <v>4989.58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7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5" t="n">
        <v>650.8099999999995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28" t="n">
        <v>0.1304338240894022</v>
      </c>
      <c r="K61" s="57" t="n"/>
    </row>
    <row r="62" ht="15.75" customFormat="1" customHeight="1" s="172">
      <c r="A62" s="45" t="n"/>
      <c r="B62" s="221">
        <f>D58-D55</f>
        <v/>
      </c>
      <c r="D62" s="221" t="n"/>
      <c r="F62" s="229" t="n"/>
      <c r="H62" s="221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0" t="inlineStr">
        <is>
          <t>RATE CONFIGURATION SNAPSHOT</t>
        </is>
      </c>
    </row>
    <row r="3">
      <c r="A3" s="231" t="inlineStr">
        <is>
          <t>Parameter</t>
        </is>
      </c>
      <c r="B3" s="231" t="inlineStr">
        <is>
          <t>Value</t>
        </is>
      </c>
      <c r="C3" s="231" t="inlineStr">
        <is>
          <t>Unit</t>
        </is>
      </c>
    </row>
    <row r="4">
      <c r="A4" s="232" t="inlineStr">
        <is>
          <t>material_rate_per_kg</t>
        </is>
      </c>
      <c r="B4" s="233" t="n">
        <v>3.5</v>
      </c>
      <c r="C4" s="232" t="inlineStr">
        <is>
          <t>AED/kg</t>
        </is>
      </c>
    </row>
    <row r="5">
      <c r="A5" s="232" t="inlineStr">
        <is>
          <t>fabrication_rate_per_kg</t>
        </is>
      </c>
      <c r="B5" s="233" t="n">
        <v>6</v>
      </c>
      <c r="C5" s="232" t="inlineStr"/>
    </row>
    <row r="6">
      <c r="A6" s="232" t="inlineStr">
        <is>
          <t>fabrication_hourly_rate</t>
        </is>
      </c>
      <c r="B6" s="233" t="n">
        <v>45</v>
      </c>
      <c r="C6" s="232" t="inlineStr">
        <is>
          <t>AED/hr</t>
        </is>
      </c>
    </row>
    <row r="7">
      <c r="A7" s="232" t="inlineStr">
        <is>
          <t>manhour_factor_hr_per_kg</t>
        </is>
      </c>
      <c r="B7" s="233" t="n">
        <v>0.15</v>
      </c>
      <c r="C7" s="232" t="inlineStr"/>
    </row>
    <row r="8">
      <c r="A8" s="232" t="inlineStr">
        <is>
          <t>welding_time_per_m_hr</t>
        </is>
      </c>
      <c r="B8" s="233" t="n">
        <v>0.8</v>
      </c>
      <c r="C8" s="232" t="inlineStr"/>
    </row>
    <row r="9">
      <c r="A9" s="232" t="inlineStr">
        <is>
          <t>welding_hourly_rate</t>
        </is>
      </c>
      <c r="B9" s="233" t="n">
        <v>45</v>
      </c>
      <c r="C9" s="232" t="inlineStr">
        <is>
          <t>AED/hr</t>
        </is>
      </c>
    </row>
    <row r="10">
      <c r="A10" s="232" t="inlineStr">
        <is>
          <t>consumable_factor_kg_per_m</t>
        </is>
      </c>
      <c r="B10" s="233" t="n">
        <v>0.12</v>
      </c>
      <c r="C10" s="232" t="inlineStr"/>
    </row>
    <row r="11">
      <c r="A11" s="232" t="inlineStr">
        <is>
          <t>consumable_unit_rate</t>
        </is>
      </c>
      <c r="B11" s="233" t="n">
        <v>15</v>
      </c>
      <c r="C11" s="232" t="inlineStr"/>
    </row>
    <row r="12">
      <c r="A12" s="232" t="inlineStr">
        <is>
          <t>cutting_rate_per_cut</t>
        </is>
      </c>
      <c r="B12" s="233" t="n">
        <v>25</v>
      </c>
      <c r="C12" s="232" t="inlineStr"/>
    </row>
    <row r="13">
      <c r="A13" s="232" t="inlineStr">
        <is>
          <t>surface_treatment_rate_per_m2</t>
        </is>
      </c>
      <c r="B13" s="233" t="n">
        <v>55</v>
      </c>
      <c r="C13" s="232" t="inlineStr">
        <is>
          <t>AED/m2</t>
        </is>
      </c>
    </row>
    <row r="14">
      <c r="A14" s="232" t="inlineStr">
        <is>
          <t>overhead_percentage</t>
        </is>
      </c>
      <c r="B14" s="233" t="n">
        <v>12</v>
      </c>
      <c r="C14" s="232" t="inlineStr">
        <is>
          <t>%</t>
        </is>
      </c>
    </row>
    <row r="15">
      <c r="A15" s="232" t="inlineStr">
        <is>
          <t>profit_margin_percentage</t>
        </is>
      </c>
      <c r="B15" s="233" t="n">
        <v>15</v>
      </c>
      <c r="C15" s="232" t="inlineStr">
        <is>
          <t>%</t>
        </is>
      </c>
    </row>
    <row r="16">
      <c r="A16" s="232" t="inlineStr">
        <is>
          <t>steel_density_kg_m3</t>
        </is>
      </c>
      <c r="B16" s="233" t="n">
        <v>7850</v>
      </c>
      <c r="C16" s="232" t="inlineStr"/>
    </row>
    <row r="17">
      <c r="A17" s="232" t="inlineStr">
        <is>
          <t>weld_length_per_joint_mm</t>
        </is>
      </c>
      <c r="B17" s="233" t="n">
        <v>150</v>
      </c>
      <c r="C17" s="232" t="inlineStr"/>
    </row>
    <row r="18">
      <c r="A18" s="232" t="inlineStr">
        <is>
          <t>structural_steel_aed_per_kg</t>
        </is>
      </c>
      <c r="B18" s="233" t="n">
        <v>5.5</v>
      </c>
      <c r="C18" s="232" t="inlineStr"/>
    </row>
    <row r="19">
      <c r="A19" s="232" t="inlineStr">
        <is>
          <t>stainless_steel_aed_per_kg</t>
        </is>
      </c>
      <c r="B19" s="233" t="n">
        <v>22</v>
      </c>
      <c r="C19" s="232" t="inlineStr"/>
    </row>
    <row r="20">
      <c r="A20" s="232" t="inlineStr">
        <is>
          <t>bolt_m16_aed_per_piece</t>
        </is>
      </c>
      <c r="B20" s="233" t="n">
        <v>2.5</v>
      </c>
      <c r="C20" s="232" t="inlineStr"/>
    </row>
    <row r="21">
      <c r="A21" s="232" t="inlineStr">
        <is>
          <t>bolt_m20_aed_per_piece</t>
        </is>
      </c>
      <c r="B21" s="233" t="n">
        <v>3.8</v>
      </c>
      <c r="C21" s="232" t="inlineStr"/>
    </row>
    <row r="22">
      <c r="A22" s="232" t="inlineStr">
        <is>
          <t>bolt_m24_aed_per_piece</t>
        </is>
      </c>
      <c r="B22" s="233" t="n">
        <v>5.2</v>
      </c>
      <c r="C22" s="232" t="inlineStr"/>
    </row>
    <row r="23">
      <c r="A23" s="232" t="inlineStr">
        <is>
          <t>consumables_percentage_of_steel</t>
        </is>
      </c>
      <c r="B23" s="233" t="n">
        <v>3.5</v>
      </c>
      <c r="C23" s="232" t="inlineStr"/>
    </row>
    <row r="24">
      <c r="A24" s="232" t="inlineStr">
        <is>
          <t>paint_2pack_epoxy_aed_per_litre</t>
        </is>
      </c>
      <c r="B24" s="233" t="n">
        <v>85</v>
      </c>
      <c r="C24" s="232" t="inlineStr"/>
    </row>
    <row r="25">
      <c r="A25" s="232" t="inlineStr">
        <is>
          <t>paint_coverage_factor_m2_per_litre</t>
        </is>
      </c>
      <c r="B25" s="233" t="n">
        <v>6.67</v>
      </c>
      <c r="C25" s="232" t="inlineStr"/>
    </row>
    <row r="26">
      <c r="A26" s="232" t="inlineStr">
        <is>
          <t>labour_hourly_rate_aed</t>
        </is>
      </c>
      <c r="B26" s="233" t="n">
        <v>35</v>
      </c>
      <c r="C26" s="232" t="inlineStr"/>
    </row>
    <row r="27">
      <c r="A27" s="232" t="inlineStr">
        <is>
          <t>welding_manhours_per_kg</t>
        </is>
      </c>
      <c r="B27" s="233" t="n">
        <v>0.35</v>
      </c>
      <c r="C27" s="232" t="inlineStr"/>
    </row>
    <row r="28">
      <c r="A28" s="232" t="inlineStr">
        <is>
          <t>fabrication_manhours_per_kg</t>
        </is>
      </c>
      <c r="B28" s="233" t="n">
        <v>0.28</v>
      </c>
      <c r="C28" s="232" t="inlineStr"/>
    </row>
    <row r="29">
      <c r="A29" s="232" t="inlineStr">
        <is>
          <t>fitting_manhours_per_kg</t>
        </is>
      </c>
      <c r="B29" s="233" t="n">
        <v>0.18</v>
      </c>
      <c r="C29" s="232" t="inlineStr"/>
    </row>
    <row r="30">
      <c r="A30" s="232" t="inlineStr">
        <is>
          <t>grinding_manhours_per_kg</t>
        </is>
      </c>
      <c r="B30" s="233" t="n">
        <v>0.07000000000000001</v>
      </c>
      <c r="C30" s="232" t="inlineStr"/>
    </row>
    <row r="31">
      <c r="A31" s="232" t="inlineStr">
        <is>
          <t>galvanizing_aed_per_kg</t>
        </is>
      </c>
      <c r="B31" s="233" t="n">
        <v>3.2</v>
      </c>
      <c r="C31" s="232" t="inlineStr"/>
    </row>
    <row r="32">
      <c r="A32" s="232" t="inlineStr">
        <is>
          <t>blasting_sa25_aed_per_m2</t>
        </is>
      </c>
      <c r="B32" s="233" t="n">
        <v>12</v>
      </c>
      <c r="C32" s="232" t="inlineStr"/>
    </row>
    <row r="33">
      <c r="A33" s="232" t="inlineStr">
        <is>
          <t>painting_aed_per_m2</t>
        </is>
      </c>
      <c r="B33" s="233" t="n">
        <v>18</v>
      </c>
      <c r="C33" s="232" t="inlineStr"/>
    </row>
    <row r="34">
      <c r="A34" s="232" t="inlineStr">
        <is>
          <t>surface_area_factor_m2_per_kg</t>
        </is>
      </c>
      <c r="B34" s="233" t="n">
        <v>0.0256</v>
      </c>
      <c r="C34" s="232" t="inlineStr"/>
    </row>
    <row r="35">
      <c r="A35" s="232" t="inlineStr">
        <is>
          <t>transport_percentage_of_total</t>
        </is>
      </c>
      <c r="B35" s="233" t="n">
        <v>2.5</v>
      </c>
      <c r="C35" s="232" t="inlineStr"/>
    </row>
    <row r="36">
      <c r="A36" s="232" t="inlineStr">
        <is>
          <t>transport_minimum_aed</t>
        </is>
      </c>
      <c r="B36" s="233" t="n">
        <v>1500</v>
      </c>
      <c r="C36" s="232" t="inlineStr"/>
    </row>
    <row r="37">
      <c r="A37" s="232" t="inlineStr">
        <is>
          <t>standard_schedule_weeks</t>
        </is>
      </c>
      <c r="B37" s="233" t="n">
        <v>4</v>
      </c>
      <c r="C37" s="232" t="inlineStr"/>
    </row>
    <row r="38">
      <c r="A38" s="232" t="inlineStr">
        <is>
          <t>rush_surcharge_percentage</t>
        </is>
      </c>
      <c r="B38" s="233" t="n">
        <v>20</v>
      </c>
      <c r="C38" s="23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0" t="inlineStr">
        <is>
          <t>CALCULATION AUDIT TRAIL</t>
        </is>
      </c>
    </row>
    <row r="2">
      <c r="A2" s="231" t="inlineStr">
        <is>
          <t>Step / Item</t>
        </is>
      </c>
      <c r="B2" s="231" t="inlineStr">
        <is>
          <t>Status</t>
        </is>
      </c>
      <c r="C2" s="231" t="inlineStr">
        <is>
          <t>Details</t>
        </is>
      </c>
    </row>
    <row r="3">
      <c r="A3" s="234" t="inlineStr">
        <is>
          <t>CS-2620-001</t>
        </is>
      </c>
      <c r="B3" s="234" t="inlineStr">
        <is>
          <t>calculated</t>
        </is>
      </c>
      <c r="C3" s="234" t="inlineStr">
        <is>
          <t>{'total_direct_cost': 1442.5}</t>
        </is>
      </c>
    </row>
    <row r="4">
      <c r="A4" s="234" t="inlineStr">
        <is>
          <t>CS-2620-002</t>
        </is>
      </c>
      <c r="B4" s="234" t="inlineStr">
        <is>
          <t>calculated</t>
        </is>
      </c>
      <c r="C4" s="234" t="inlineStr">
        <is>
          <t>{'total_direct_cost': 1159.0}</t>
        </is>
      </c>
    </row>
    <row r="5">
      <c r="A5" s="234" t="inlineStr">
        <is>
          <t>CS-2620-003</t>
        </is>
      </c>
      <c r="B5" s="234" t="inlineStr">
        <is>
          <t>calculated</t>
        </is>
      </c>
      <c r="C5" s="234" t="inlineStr">
        <is>
          <t>{'total_direct_cost': 1272.4}</t>
        </is>
      </c>
    </row>
    <row r="6">
      <c r="A6" s="234" t="inlineStr">
        <is>
          <t>overhead_and_margin</t>
        </is>
      </c>
      <c r="B6" s="234" t="inlineStr">
        <is>
          <t>ok</t>
        </is>
      </c>
      <c r="C6" s="234" t="inlineStr">
        <is>
          <t>{'overhead_formula': 'Overhead = DirectCost(3873.90) × 12.00% = 464.87', 'selling_formula': 'SellingPrice = TotalCost(4338.77) × (1 + 15.00%) = 4989.58'}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2026-04-22T09:43:33Z</dcterms:modified>
  <cp:lastModifiedBy>t11771</cp:lastModifiedBy>
</cp:coreProperties>
</file>