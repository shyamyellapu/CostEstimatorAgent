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44525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44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43" fontId="20" fillId="3" borderId="25" applyAlignment="1" pivotButton="0" quotePrefix="0" xfId="6">
      <alignment horizontal="left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0" fontId="0" fillId="0" borderId="0" pivotButton="0" quotePrefix="0" xfId="0"/>
    <xf numFmtId="4" fontId="20" fillId="0" borderId="0" applyAlignment="1" pivotButton="0" quotePrefix="0" xfId="4">
      <alignment vertical="center"/>
    </xf>
    <xf numFmtId="0" fontId="7" fillId="0" borderId="0" applyAlignment="1" pivotButton="0" quotePrefix="0" xfId="0">
      <alignment horizontal="center" vertical="center" wrapText="1"/>
    </xf>
    <xf numFmtId="43" fontId="0" fillId="0" borderId="0" pivotButton="0" quotePrefix="0" xfId="1"/>
    <xf numFmtId="43" fontId="0" fillId="0" borderId="0" pivotButton="0" quotePrefix="0" xfId="1"/>
    <xf numFmtId="0" fontId="4" fillId="0" borderId="4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2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45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8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6" fontId="20" fillId="3" borderId="25" applyAlignment="1" pivotButton="0" quotePrefix="0" xfId="6">
      <alignment horizontal="left" vertical="center"/>
    </xf>
    <xf numFmtId="0" fontId="20" fillId="3" borderId="50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51" applyAlignment="1" pivotButton="0" quotePrefix="0" xfId="5">
      <alignment horizontal="left" vertical="center" wrapText="1"/>
    </xf>
    <xf numFmtId="0" fontId="20" fillId="3" borderId="51" applyAlignment="1" pivotButton="0" quotePrefix="0" xfId="5">
      <alignment horizontal="left" vertical="center" wrapText="1"/>
    </xf>
    <xf numFmtId="164" fontId="20" fillId="3" borderId="26" applyAlignment="1" pivotButton="0" quotePrefix="0" xfId="4">
      <alignment horizontal="center" vertical="center"/>
    </xf>
    <xf numFmtId="166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43" fontId="0" fillId="0" borderId="0" pivotButton="0" quotePrefix="0" xfId="0"/>
    <xf numFmtId="166" fontId="20" fillId="0" borderId="31" applyAlignment="1" pivotButton="0" quotePrefix="0" xfId="6">
      <alignment horizontal="left" vertical="center"/>
    </xf>
    <xf numFmtId="4" fontId="6" fillId="4" borderId="41" applyAlignment="1" pivotButton="0" quotePrefix="0" xfId="1">
      <alignment horizontal="center" vertical="center" wrapText="1"/>
    </xf>
    <xf numFmtId="0" fontId="7" fillId="0" borderId="41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2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4"/>
  <sheetViews>
    <sheetView tabSelected="1" topLeftCell="A49" zoomScale="85" zoomScaleNormal="85" workbookViewId="0">
      <selection activeCell="A1" sqref="A1:R1"/>
    </sheetView>
  </sheetViews>
  <sheetFormatPr baseColWidth="8" defaultRowHeight="15"/>
  <cols>
    <col width="16.5703125" customWidth="1" style="175" min="2" max="2"/>
    <col width="16.85546875" customWidth="1" style="175" min="3" max="3"/>
    <col width="17.28515625" customWidth="1" style="175" min="4" max="4"/>
    <col width="12" customWidth="1" style="175" min="5" max="5"/>
    <col width="8.7109375" customWidth="1" style="175" min="6" max="6"/>
    <col width="11.5703125" bestFit="1" customWidth="1" style="175" min="7" max="7"/>
    <col width="9.5703125" customWidth="1" style="175" min="8" max="8"/>
    <col width="12.140625" bestFit="1" customWidth="1" style="175" min="9" max="9"/>
    <col width="12.42578125" customWidth="1" style="175" min="10" max="10"/>
    <col width="13" bestFit="1" customWidth="1" style="175" min="11" max="11"/>
    <col width="11.85546875" customWidth="1" style="175" min="12" max="12"/>
    <col width="21" customWidth="1" style="175" min="13" max="13"/>
    <col width="10.28515625" customWidth="1" style="175" min="14" max="14"/>
    <col width="9.28515625" customWidth="1" style="175" min="15" max="15"/>
    <col width="10.28515625" customWidth="1" style="175" min="16" max="16"/>
    <col width="8.28515625" customWidth="1" style="175" min="17" max="17"/>
    <col width="6.140625" customWidth="1" style="175" min="18" max="18"/>
    <col width="11.140625" bestFit="1" customWidth="1" style="179" min="19" max="19"/>
  </cols>
  <sheetData>
    <row r="1" ht="52.5" customHeight="1" s="175" thickBot="1">
      <c r="A1" s="180" t="inlineStr">
        <is>
          <t>C&amp;J GULF EQUIPMENT MANUFACTURING L.L.C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2" t="n"/>
    </row>
    <row r="2" ht="27" customHeight="1" s="175" thickBot="1">
      <c r="A2" s="2" t="n"/>
      <c r="B2" s="3" t="n"/>
      <c r="C2" s="3" t="n"/>
      <c r="D2" s="3" t="n"/>
      <c r="E2" s="157" t="inlineStr">
        <is>
          <t xml:space="preserve"> Job Costing Sheet</t>
        </is>
      </c>
      <c r="F2" s="183" t="n"/>
      <c r="G2" s="183" t="n"/>
      <c r="H2" s="183" t="n"/>
      <c r="I2" s="183" t="n"/>
      <c r="J2" s="183" t="n"/>
      <c r="K2" s="183" t="n"/>
      <c r="L2" s="183" t="n"/>
      <c r="M2" s="183" t="n"/>
      <c r="N2" s="3" t="n"/>
      <c r="O2" s="3" t="n"/>
      <c r="P2" s="3" t="n"/>
      <c r="Q2" s="3" t="n"/>
      <c r="R2" s="4" t="n"/>
    </row>
    <row r="3" ht="15.75" customHeight="1" s="175" thickBot="1">
      <c r="A3" s="184" t="inlineStr">
        <is>
          <t>REF NO: JOB-20260422-62F8EE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5" t="n"/>
      <c r="K3" s="185" t="n"/>
      <c r="L3" s="185" t="n"/>
      <c r="M3" s="185" t="n"/>
      <c r="N3" s="185" t="n"/>
      <c r="O3" s="185" t="n"/>
      <c r="P3" s="185" t="n"/>
      <c r="Q3" s="185" t="n"/>
      <c r="R3" s="186" t="n"/>
    </row>
    <row r="4" ht="21" customHeight="1" s="175" thickBot="1">
      <c r="A4" s="187" t="inlineStr">
        <is>
          <t>CUSTOMER NAME</t>
        </is>
      </c>
      <c r="B4" s="188" t="n"/>
      <c r="C4" s="68" t="inlineStr">
        <is>
          <t>cc</t>
        </is>
      </c>
      <c r="D4" s="183" t="n"/>
      <c r="E4" s="141" t="inlineStr">
        <is>
          <t>DATE</t>
        </is>
      </c>
      <c r="F4" s="188" t="n"/>
      <c r="G4" s="189" t="inlineStr">
        <is>
          <t>2026-04-22</t>
        </is>
      </c>
      <c r="H4" s="183" t="n"/>
      <c r="I4" s="183" t="n"/>
      <c r="J4" s="183" t="n"/>
      <c r="K4" s="183" t="n"/>
      <c r="L4" s="188" t="n"/>
      <c r="M4" s="145" t="inlineStr">
        <is>
          <t>ENQUIRY No</t>
        </is>
      </c>
      <c r="N4" s="183" t="n"/>
      <c r="O4" s="190" t="inlineStr"/>
      <c r="P4" s="183" t="n"/>
      <c r="Q4" s="183" t="n"/>
      <c r="R4" s="188" t="n"/>
    </row>
    <row r="5" ht="20.45" customHeight="1" s="175" thickBot="1">
      <c r="A5" s="108" t="inlineStr">
        <is>
          <t>CUSTOMER CODE</t>
        </is>
      </c>
      <c r="B5" s="183" t="n"/>
      <c r="C5" s="191" t="n"/>
      <c r="D5" s="188" t="n"/>
      <c r="E5" s="192" t="inlineStr">
        <is>
          <t>ATTENTION OF</t>
        </is>
      </c>
      <c r="F5" s="188" t="n"/>
      <c r="G5" s="190" t="inlineStr">
        <is>
          <t>Mr. Harun Khan</t>
        </is>
      </c>
      <c r="H5" s="183" t="n"/>
      <c r="I5" s="183" t="n"/>
      <c r="J5" s="183" t="n"/>
      <c r="K5" s="183" t="n"/>
      <c r="L5" s="188" t="n"/>
      <c r="M5" s="145" t="inlineStr">
        <is>
          <t>JOB NO.</t>
        </is>
      </c>
      <c r="N5" s="183" t="n"/>
      <c r="O5" s="193" t="inlineStr">
        <is>
          <t>JOB-20260422-62F8EE</t>
        </is>
      </c>
      <c r="P5" s="183" t="n"/>
      <c r="Q5" s="183" t="n"/>
      <c r="R5" s="188" t="n"/>
    </row>
    <row r="6" ht="19.15" customHeight="1" s="175" thickBot="1">
      <c r="A6" s="122" t="inlineStr">
        <is>
          <t>EMAIL</t>
        </is>
      </c>
      <c r="B6" s="181" t="n"/>
      <c r="C6" s="194" t="n"/>
      <c r="D6" s="188" t="n"/>
      <c r="E6" s="192" t="inlineStr">
        <is>
          <t>CONTACT NO:</t>
        </is>
      </c>
      <c r="F6" s="188" t="n"/>
      <c r="G6" s="195" t="n">
        <v>971566529515</v>
      </c>
      <c r="H6" s="181" t="n"/>
      <c r="I6" s="181" t="n"/>
      <c r="J6" s="181" t="n"/>
      <c r="K6" s="181" t="n"/>
      <c r="L6" s="182" t="n"/>
      <c r="M6" s="145" t="inlineStr">
        <is>
          <t>JORL DATE:</t>
        </is>
      </c>
      <c r="N6" s="183" t="n"/>
      <c r="O6" s="196" t="n"/>
      <c r="P6" s="181" t="n"/>
      <c r="Q6" s="181" t="n"/>
      <c r="R6" s="182" t="n"/>
    </row>
    <row r="7" ht="24" customHeight="1" s="175" thickBot="1">
      <c r="A7" s="108" t="inlineStr">
        <is>
          <t>PROJECT PACKAGE DETAILS</t>
        </is>
      </c>
      <c r="B7" s="183" t="n"/>
      <c r="C7" s="68" t="inlineStr"/>
      <c r="D7" s="136" t="n"/>
      <c r="E7" s="190" t="inlineStr">
        <is>
          <t>MODULE WORK</t>
        </is>
      </c>
      <c r="F7" s="188" t="n"/>
      <c r="G7" s="133" t="inlineStr"/>
      <c r="H7" s="197" t="n"/>
      <c r="I7" s="134" t="n"/>
      <c r="J7" s="135" t="inlineStr">
        <is>
          <t>SKID MOUNTED PACKAGE</t>
        </is>
      </c>
      <c r="K7" s="183" t="n"/>
      <c r="L7" s="197" t="n"/>
      <c r="M7" s="133" t="n"/>
      <c r="N7" s="197" t="n"/>
      <c r="O7" s="137" t="inlineStr">
        <is>
          <t>CEMENT LINING</t>
        </is>
      </c>
      <c r="P7" s="197" t="n"/>
      <c r="Q7" s="70" t="n"/>
      <c r="R7" s="188" t="n"/>
    </row>
    <row r="8" ht="15" customHeight="1" s="175" thickBot="1">
      <c r="A8" s="124" t="n"/>
      <c r="B8" s="185" t="n"/>
      <c r="C8" s="185" t="n"/>
      <c r="D8" s="185" t="n"/>
      <c r="E8" s="198" t="n"/>
      <c r="F8" s="188" t="n"/>
      <c r="G8" s="199" t="n"/>
      <c r="H8" s="185" t="n"/>
      <c r="I8" s="185" t="n"/>
      <c r="J8" s="185" t="n"/>
      <c r="K8" s="185" t="n"/>
      <c r="L8" s="186" t="n"/>
      <c r="M8" s="129" t="n"/>
      <c r="O8" s="200" t="n"/>
      <c r="P8" s="185" t="n"/>
      <c r="Q8" s="185" t="n"/>
      <c r="R8" s="186" t="n"/>
    </row>
    <row r="9" ht="21" customHeight="1" s="175" thickBot="1">
      <c r="A9" s="122" t="inlineStr">
        <is>
          <t>CUSTOMER P.O. Ref :</t>
        </is>
      </c>
      <c r="B9" s="181" t="n"/>
      <c r="C9" s="190" t="n"/>
      <c r="D9" s="188" t="n"/>
      <c r="E9" s="187" t="n"/>
      <c r="F9" s="188" t="n"/>
      <c r="G9" s="190" t="n"/>
      <c r="H9" s="183" t="n"/>
      <c r="I9" s="183" t="n"/>
      <c r="J9" s="183" t="n"/>
      <c r="K9" s="183" t="n"/>
      <c r="L9" s="188" t="n"/>
      <c r="M9" s="123" t="n"/>
      <c r="N9" s="181" t="n"/>
      <c r="O9" s="201" t="n"/>
      <c r="P9" s="202" t="n"/>
      <c r="Q9" s="202" t="n"/>
      <c r="R9" s="203" t="n"/>
    </row>
    <row r="10" ht="24" customHeight="1" s="175" thickBot="1">
      <c r="A10" s="108" t="inlineStr">
        <is>
          <t xml:space="preserve"> SALES EMPOLOYEE CODE</t>
        </is>
      </c>
      <c r="B10" s="183" t="n"/>
      <c r="C10" s="190" t="n"/>
      <c r="D10" s="188" t="n"/>
      <c r="E10" s="187" t="n"/>
      <c r="F10" s="188" t="n"/>
      <c r="G10" s="190" t="n"/>
      <c r="H10" s="183" t="n"/>
      <c r="I10" s="183" t="n"/>
      <c r="J10" s="183" t="n"/>
      <c r="K10" s="183" t="n"/>
      <c r="L10" s="188" t="n"/>
      <c r="M10" s="109" t="n"/>
      <c r="N10" s="183" t="n"/>
      <c r="O10" s="201" t="n"/>
      <c r="P10" s="202" t="n"/>
      <c r="Q10" s="202" t="n"/>
      <c r="R10" s="203" t="n"/>
    </row>
    <row r="11" ht="22.9" customHeight="1" s="175" thickBot="1">
      <c r="A11" s="108" t="inlineStr">
        <is>
          <t>NETSUITE INVOICE NO:</t>
        </is>
      </c>
      <c r="B11" s="183" t="n"/>
      <c r="C11" s="190" t="n"/>
      <c r="D11" s="188" t="n"/>
      <c r="E11" s="187" t="inlineStr">
        <is>
          <t>NETSUITE AGEING REPORT:</t>
        </is>
      </c>
      <c r="F11" s="188" t="n"/>
      <c r="G11" s="190" t="n"/>
      <c r="H11" s="183" t="n"/>
      <c r="I11" s="183" t="n"/>
      <c r="J11" s="183" t="n"/>
      <c r="K11" s="183" t="n"/>
      <c r="L11" s="188" t="n"/>
      <c r="M11" s="109" t="n"/>
      <c r="N11" s="183" t="n"/>
      <c r="O11" s="204" t="n"/>
      <c r="P11" s="202" t="n"/>
      <c r="Q11" s="202" t="n"/>
      <c r="R11" s="203" t="n"/>
    </row>
    <row r="12" ht="22.15" customHeight="1" s="175" thickBot="1">
      <c r="A12" s="108" t="inlineStr">
        <is>
          <t>PENDING PAYMENT</t>
        </is>
      </c>
      <c r="B12" s="183" t="n"/>
      <c r="C12" s="205" t="n"/>
      <c r="D12" s="188" t="n"/>
      <c r="E12" s="187" t="n"/>
      <c r="F12" s="188" t="n"/>
      <c r="G12" s="190" t="n"/>
      <c r="H12" s="183" t="n"/>
      <c r="I12" s="183" t="n"/>
      <c r="J12" s="183" t="n"/>
      <c r="K12" s="183" t="n"/>
      <c r="L12" s="188" t="n"/>
      <c r="M12" s="109" t="n"/>
      <c r="N12" s="183" t="n"/>
      <c r="O12" s="206" t="n"/>
      <c r="P12" s="183" t="n"/>
      <c r="Q12" s="183" t="n"/>
      <c r="R12" s="188" t="n"/>
    </row>
    <row r="13" ht="33" customHeight="1" s="175" thickBot="1">
      <c r="A13" s="207" t="n"/>
      <c r="B13" s="183" t="n"/>
      <c r="C13" s="183" t="n"/>
      <c r="D13" s="183" t="n"/>
      <c r="E13" s="183" t="n"/>
      <c r="F13" s="188" t="n"/>
      <c r="G13" s="207" t="inlineStr">
        <is>
          <t>COST AT OFFER ACCEPTANCE AS PER ESTIMATION</t>
        </is>
      </c>
      <c r="H13" s="183" t="n"/>
      <c r="I13" s="183" t="n"/>
      <c r="J13" s="183" t="n"/>
      <c r="K13" s="183" t="n"/>
      <c r="L13" s="188" t="n"/>
      <c r="M13" s="207" t="inlineStr">
        <is>
          <t>ACTUAL MANUFACTURING COST</t>
        </is>
      </c>
      <c r="N13" s="183" t="n"/>
      <c r="O13" s="183" t="n"/>
      <c r="P13" s="183" t="n"/>
      <c r="Q13" s="183" t="n"/>
      <c r="R13" s="188" t="n"/>
    </row>
    <row r="14" ht="24" customHeight="1" s="175" thickBot="1">
      <c r="A14" s="8" t="inlineStr">
        <is>
          <t>Sr No</t>
        </is>
      </c>
      <c r="B14" s="208" t="inlineStr">
        <is>
          <t>Item Description</t>
        </is>
      </c>
      <c r="C14" s="183" t="n"/>
      <c r="D14" s="183" t="n"/>
      <c r="E14" s="183" t="n"/>
      <c r="F14" s="188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0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8" t="inlineStr">
        <is>
          <t>Remarks</t>
        </is>
      </c>
      <c r="R14" s="188" t="n"/>
    </row>
    <row r="15" ht="15" customHeight="1" s="175">
      <c r="A15" s="11" t="n"/>
      <c r="B15" s="106" t="inlineStr">
        <is>
          <t>Structural Work</t>
        </is>
      </c>
      <c r="C15" s="209" t="n"/>
      <c r="D15" s="209" t="n"/>
      <c r="E15" s="209" t="n"/>
      <c r="F15" s="209" t="n"/>
      <c r="G15" s="210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11" t="n"/>
    </row>
    <row r="16" ht="14.45" customHeight="1" s="175">
      <c r="A16" s="11" t="n">
        <v>1</v>
      </c>
      <c r="B16" s="80" t="inlineStr">
        <is>
          <t>Design, Drafting &amp; Drawing Charges</t>
        </is>
      </c>
      <c r="C16" s="212" t="n"/>
      <c r="D16" s="212" t="n"/>
      <c r="E16" s="212" t="n"/>
      <c r="F16" s="212" t="n"/>
      <c r="G16" s="213" t="n">
        <v>0</v>
      </c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11" t="n"/>
    </row>
    <row r="17" ht="14.45" customHeight="1" s="175">
      <c r="A17" s="11" t="n">
        <v>1.1</v>
      </c>
      <c r="B17" s="80" t="inlineStr">
        <is>
          <t>Gaps in customer design</t>
        </is>
      </c>
      <c r="C17" s="212" t="n"/>
      <c r="D17" s="212" t="n"/>
      <c r="E17" s="212" t="n"/>
      <c r="F17" s="212" t="n"/>
      <c r="G17" s="213" t="n">
        <v>0</v>
      </c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11" t="n"/>
    </row>
    <row r="18" ht="14.45" customHeight="1" s="175">
      <c r="A18" s="11" t="n">
        <v>2</v>
      </c>
      <c r="B18" s="80" t="inlineStr">
        <is>
          <t>BOM/BOQ Preparation</t>
        </is>
      </c>
      <c r="C18" s="212" t="n"/>
      <c r="D18" s="212" t="n"/>
      <c r="E18" s="212" t="n"/>
      <c r="F18" s="212" t="n"/>
      <c r="G18" s="213" t="n">
        <v>0</v>
      </c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11" t="n"/>
    </row>
    <row r="19" ht="14.45" customHeight="1" s="175">
      <c r="A19" s="11" t="n">
        <v>2.1</v>
      </c>
      <c r="B19" s="80" t="inlineStr">
        <is>
          <t>Changes in BOM due to Design change</t>
        </is>
      </c>
      <c r="C19" s="212" t="n"/>
      <c r="D19" s="212" t="n"/>
      <c r="E19" s="212" t="n"/>
      <c r="F19" s="212" t="n"/>
      <c r="G19" s="213" t="n">
        <v>0</v>
      </c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11" t="n"/>
    </row>
    <row r="20">
      <c r="A20" s="11" t="n">
        <v>3</v>
      </c>
      <c r="B20" s="80" t="inlineStr">
        <is>
          <t>Technical recommendations to customer</t>
        </is>
      </c>
      <c r="C20" s="212" t="n"/>
      <c r="D20" s="212" t="n"/>
      <c r="E20" s="212" t="n"/>
      <c r="F20" s="212" t="n"/>
      <c r="G20" s="213" t="n">
        <v>0</v>
      </c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11" t="n"/>
    </row>
    <row r="21" ht="15" customHeight="1" s="175" thickBot="1">
      <c r="A21" s="11" t="n">
        <v>4</v>
      </c>
      <c r="B21" s="80" t="inlineStr">
        <is>
          <t>Gaps in our estimation</t>
        </is>
      </c>
      <c r="C21" s="212" t="n"/>
      <c r="D21" s="212" t="n"/>
      <c r="E21" s="212" t="n"/>
      <c r="F21" s="212" t="n"/>
      <c r="G21" s="213" t="n">
        <v>0</v>
      </c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11" t="n"/>
    </row>
    <row r="22" ht="15" customHeight="1" s="175">
      <c r="A22" s="11" t="n">
        <v>5</v>
      </c>
      <c r="B22" s="214" t="inlineStr">
        <is>
          <t xml:space="preserve">Material Cost </t>
        </is>
      </c>
      <c r="C22" s="209" t="n"/>
      <c r="D22" s="209" t="n"/>
      <c r="E22" s="209" t="n"/>
      <c r="F22" s="215" t="n"/>
      <c r="G22" s="216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11" t="n"/>
    </row>
    <row r="23" ht="15" customHeight="1" s="175">
      <c r="A23" s="28" t="n">
        <v>5.1</v>
      </c>
      <c r="B23" s="169" t="inlineStr">
        <is>
          <t>Structural Steel Material</t>
        </is>
      </c>
      <c r="C23" s="212" t="n"/>
      <c r="D23" s="212" t="n"/>
      <c r="E23" s="212" t="n"/>
      <c r="F23" s="217" t="n"/>
      <c r="G23" s="218" t="n">
        <v>22.608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11" t="n"/>
    </row>
    <row r="24" ht="15" customHeight="1" s="175">
      <c r="A24" s="29" t="n">
        <v>5.2</v>
      </c>
      <c r="B24" s="169" t="inlineStr">
        <is>
          <t>M20x90 Long Bolts HEX HD</t>
        </is>
      </c>
      <c r="C24" s="212" t="n"/>
      <c r="D24" s="212" t="n"/>
      <c r="E24" s="212" t="n"/>
      <c r="F24" s="217" t="n"/>
      <c r="G24" s="216" t="inlineStr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82" t="n"/>
      <c r="R24" s="83" t="n"/>
    </row>
    <row r="25" ht="15" customHeight="1" s="175" thickBot="1">
      <c r="A25" s="50" t="n">
        <v>5.3</v>
      </c>
      <c r="B25" s="219" t="inlineStr">
        <is>
          <t>Paint Material</t>
        </is>
      </c>
      <c r="C25" s="220" t="n"/>
      <c r="D25" s="220" t="n"/>
      <c r="E25" s="220" t="n"/>
      <c r="F25" s="221" t="n"/>
      <c r="G25" s="216" t="inlineStr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22" t="n"/>
      <c r="N25" s="18" t="n"/>
      <c r="O25" s="18" t="n"/>
      <c r="P25" s="18" t="n"/>
      <c r="Q25" s="82" t="n"/>
      <c r="R25" s="83" t="n"/>
    </row>
    <row r="26" ht="15" customHeight="1" s="175">
      <c r="A26" s="11" t="n">
        <v>6</v>
      </c>
      <c r="B26" s="214" t="inlineStr">
        <is>
          <t>Material Inspection Charges</t>
        </is>
      </c>
      <c r="C26" s="209" t="n"/>
      <c r="D26" s="209" t="n"/>
      <c r="E26" s="209" t="n"/>
      <c r="F26" s="215" t="n"/>
      <c r="G26" s="213" t="n">
        <v>0</v>
      </c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11" t="n"/>
    </row>
    <row r="27" ht="15" customHeight="1" s="175">
      <c r="A27" s="11" t="n"/>
      <c r="B27" s="171" t="n"/>
      <c r="C27" s="172" t="n"/>
      <c r="D27" s="172" t="n"/>
      <c r="E27" s="172" t="n"/>
      <c r="F27" s="173" t="n"/>
      <c r="G27" s="213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82" t="n"/>
      <c r="R27" s="83" t="n"/>
    </row>
    <row r="28">
      <c r="A28" s="11" t="n">
        <v>7</v>
      </c>
      <c r="B28" s="223" t="inlineStr">
        <is>
          <t>Labour &amp; Fabrication Cost</t>
        </is>
      </c>
      <c r="C28" s="212" t="n"/>
      <c r="D28" s="212" t="n"/>
      <c r="E28" s="212" t="n"/>
      <c r="F28" s="211" t="n"/>
      <c r="G28" s="213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82" t="n"/>
      <c r="R28" s="83" t="n"/>
    </row>
    <row r="29" ht="15" customHeight="1" s="175">
      <c r="A29" s="29" t="n">
        <v>7.1</v>
      </c>
      <c r="B29" s="224" t="inlineStr">
        <is>
          <t>Structural Welding consumables</t>
        </is>
      </c>
      <c r="C29" s="212" t="n"/>
      <c r="D29" s="212" t="n"/>
      <c r="E29" s="212" t="n"/>
      <c r="F29" s="211" t="n"/>
      <c r="G29" s="216" t="n">
        <v>7802.27</v>
      </c>
      <c r="H29" s="24" t="inlineStr">
        <is>
          <t>Hrs</t>
        </is>
      </c>
      <c r="I29" s="225" t="inlineStr"/>
      <c r="J29" s="31" t="n">
        <v>45</v>
      </c>
      <c r="K29" s="26">
        <f>I29*J29</f>
        <v/>
      </c>
      <c r="L29" s="27" t="n"/>
      <c r="M29" s="17" t="inlineStr">
        <is>
          <t>2 Welder</t>
        </is>
      </c>
      <c r="N29" s="18" t="n"/>
      <c r="O29" s="18" t="n"/>
      <c r="P29" s="18" t="n"/>
      <c r="Q29" s="82" t="n"/>
      <c r="R29" s="83" t="n"/>
      <c r="S29" s="179">
        <f>230000/30/30*(I29/8)</f>
        <v/>
      </c>
    </row>
    <row r="30" ht="15" customHeight="1" s="175">
      <c r="A30" s="29" t="n">
        <v>7.2</v>
      </c>
      <c r="B30" s="224" t="inlineStr">
        <is>
          <t>Structural Fabrication labour</t>
        </is>
      </c>
      <c r="C30" s="212" t="n"/>
      <c r="D30" s="212" t="n"/>
      <c r="E30" s="212" t="n"/>
      <c r="F30" s="211" t="n"/>
      <c r="G30" s="216" t="n">
        <v>7802.27</v>
      </c>
      <c r="H30" s="24" t="inlineStr">
        <is>
          <t>Hrs</t>
        </is>
      </c>
      <c r="I30" s="226" t="n">
        <v>3.3912</v>
      </c>
      <c r="J30" s="31" t="n">
        <v>45</v>
      </c>
      <c r="K30" s="26">
        <f>I30*J30</f>
        <v/>
      </c>
      <c r="L30" s="27" t="n"/>
      <c r="M30" s="17" t="inlineStr">
        <is>
          <t>2 Fabricator 2 Helper</t>
        </is>
      </c>
      <c r="N30" s="18" t="n"/>
      <c r="O30" s="18" t="n"/>
      <c r="P30" s="18" t="n"/>
      <c r="Q30" s="82" t="n"/>
      <c r="R30" s="83" t="n"/>
      <c r="S30" s="179">
        <f>230000/30/30*(I30/8)</f>
        <v/>
      </c>
    </row>
    <row r="31" ht="15" customHeight="1" s="175">
      <c r="A31" s="29" t="n">
        <v>7.3</v>
      </c>
      <c r="B31" s="162" t="inlineStr">
        <is>
          <t xml:space="preserve">Hydrotesting </t>
        </is>
      </c>
      <c r="C31" s="227" t="n"/>
      <c r="D31" s="227" t="n"/>
      <c r="E31" s="227" t="n"/>
      <c r="F31" s="227" t="n"/>
      <c r="G31" s="228" t="n"/>
      <c r="H31" s="24" t="inlineStr">
        <is>
          <t>Inch Dia</t>
        </is>
      </c>
      <c r="I31" s="225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82" t="n"/>
      <c r="R31" s="83" t="n"/>
      <c r="S31" s="179">
        <f>230000/30/30*(I32/8)</f>
        <v/>
      </c>
    </row>
    <row r="32" ht="15" customHeight="1" s="175">
      <c r="A32" s="29" t="n">
        <v>7.4</v>
      </c>
      <c r="B32" s="63" t="inlineStr">
        <is>
          <t>Machining 8 labour hours per day for 4 days</t>
        </is>
      </c>
      <c r="C32" s="212" t="n"/>
      <c r="D32" s="212" t="n"/>
      <c r="E32" s="212" t="n"/>
      <c r="F32" s="212" t="n"/>
      <c r="G32" s="213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inlineStr">
        <is>
          <t>1  Machinist</t>
        </is>
      </c>
      <c r="N32" s="18" t="n"/>
      <c r="O32" s="18" t="n"/>
      <c r="P32" s="18" t="n"/>
      <c r="Q32" s="82" t="n"/>
      <c r="R32" s="83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13" t="n">
        <v>1</v>
      </c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82" t="n"/>
      <c r="R33" s="83" t="n"/>
    </row>
    <row r="34">
      <c r="A34" s="11" t="n">
        <v>9</v>
      </c>
      <c r="B34" s="80" t="inlineStr">
        <is>
          <t>Subcontractor Costing</t>
        </is>
      </c>
      <c r="C34" s="212" t="n"/>
      <c r="D34" s="212" t="n"/>
      <c r="E34" s="212" t="n"/>
      <c r="F34" s="212" t="n"/>
      <c r="G34" s="213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82" t="n"/>
      <c r="R34" s="83" t="n"/>
    </row>
    <row r="35">
      <c r="A35" s="29" t="n">
        <v>9.1</v>
      </c>
      <c r="B35" s="63" t="inlineStr">
        <is>
          <t>Machining &amp; Threading</t>
        </is>
      </c>
      <c r="C35" s="212" t="n"/>
      <c r="D35" s="212" t="n"/>
      <c r="E35" s="212" t="n"/>
      <c r="F35" s="212" t="n"/>
      <c r="G35" s="213" t="n">
        <v>0</v>
      </c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82" t="n"/>
      <c r="R35" s="83" t="n"/>
      <c r="T35" s="229" t="n"/>
    </row>
    <row r="36">
      <c r="A36" s="11" t="n">
        <v>10</v>
      </c>
      <c r="B36" s="80" t="inlineStr">
        <is>
          <t>Testing &amp; Quality Control</t>
        </is>
      </c>
      <c r="C36" s="212" t="n"/>
      <c r="D36" s="212" t="n"/>
      <c r="E36" s="212" t="n"/>
      <c r="F36" s="212" t="n"/>
      <c r="G36" s="228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82" t="n"/>
      <c r="R36" s="83" t="n"/>
      <c r="T36" s="229" t="n"/>
    </row>
    <row r="37" ht="15" customHeight="1" s="175">
      <c r="A37" s="29" t="n">
        <v>10.1</v>
      </c>
      <c r="B37" s="224" t="inlineStr">
        <is>
          <t>10% MPI/DPT</t>
        </is>
      </c>
      <c r="C37" s="212" t="n"/>
      <c r="D37" s="212" t="n"/>
      <c r="E37" s="212" t="n"/>
      <c r="F37" s="211" t="n"/>
      <c r="G37" s="228" t="n">
        <v>10</v>
      </c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82" t="n"/>
      <c r="R37" s="83" t="n"/>
    </row>
    <row r="38" ht="15" customHeight="1" s="175">
      <c r="A38" s="11" t="n">
        <v>11</v>
      </c>
      <c r="B38" s="80" t="inlineStr">
        <is>
          <t>Surface Preparation &amp; Coating</t>
        </is>
      </c>
      <c r="C38" s="212" t="n"/>
      <c r="D38" s="212" t="n"/>
      <c r="E38" s="212" t="n"/>
      <c r="F38" s="212" t="n"/>
      <c r="G38" s="213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82" t="n"/>
      <c r="R38" s="83" t="n"/>
    </row>
    <row r="39" ht="15" customHeight="1" s="175">
      <c r="A39" s="29" t="n">
        <v>11.1</v>
      </c>
      <c r="B39" s="63" t="inlineStr">
        <is>
          <t>Galvanizing Work</t>
        </is>
      </c>
      <c r="C39" s="212" t="n"/>
      <c r="D39" s="212" t="n"/>
      <c r="E39" s="212" t="n"/>
      <c r="F39" s="212" t="n"/>
      <c r="G39" s="213" t="inlineStr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82" t="n"/>
      <c r="R39" s="83" t="n"/>
      <c r="S39" s="179">
        <f>230000/30/30*(I40/8)</f>
        <v/>
      </c>
    </row>
    <row r="40" ht="24" customHeight="1" s="175">
      <c r="A40" s="29" t="n">
        <v>11.2</v>
      </c>
      <c r="B40" s="94" t="inlineStr">
        <is>
          <t>Blasting (0.54 Sq M)</t>
        </is>
      </c>
      <c r="C40" s="212" t="n"/>
      <c r="D40" s="212" t="n"/>
      <c r="E40" s="212" t="n"/>
      <c r="F40" s="212" t="n"/>
      <c r="G40" s="230" t="n">
        <v>0.5376</v>
      </c>
      <c r="H40" s="35" t="inlineStr">
        <is>
          <t>SQM</t>
        </is>
      </c>
      <c r="I40" s="37">
        <f>1/13.3*G40*3</f>
        <v/>
      </c>
      <c r="J40" s="31" t="n">
        <v>55</v>
      </c>
      <c r="K40" s="26">
        <f>G40*J40</f>
        <v/>
      </c>
      <c r="L40" s="27" t="n"/>
      <c r="M40" s="17" t="inlineStr">
        <is>
          <t>1 Blaster 1 Helper</t>
        </is>
      </c>
      <c r="N40" s="18" t="n"/>
      <c r="O40" s="18" t="n"/>
      <c r="P40" s="18" t="n"/>
      <c r="Q40" s="82" t="n"/>
      <c r="R40" s="83" t="n"/>
      <c r="S40" s="179">
        <f>230000/30/30*(I41/8)</f>
        <v/>
      </c>
    </row>
    <row r="41">
      <c r="A41" s="29" t="n">
        <v>11.3</v>
      </c>
      <c r="B41" s="94" t="inlineStr">
        <is>
          <t>Painting (0.54 Sq M)</t>
        </is>
      </c>
      <c r="C41" s="212" t="n"/>
      <c r="D41" s="212" t="n"/>
      <c r="E41" s="212" t="n"/>
      <c r="F41" s="212" t="n"/>
      <c r="G41" s="230" t="n">
        <v>0.5376</v>
      </c>
      <c r="H41" s="35" t="inlineStr">
        <is>
          <t>SQM</t>
        </is>
      </c>
      <c r="I41" s="37">
        <f>1/6.65*G41*3</f>
        <v/>
      </c>
      <c r="J41" s="31" t="n">
        <v>55</v>
      </c>
      <c r="K41" s="26">
        <f>G41*J41</f>
        <v/>
      </c>
      <c r="L41" s="27" t="n"/>
      <c r="M41" s="17" t="inlineStr">
        <is>
          <t>1 Painter 1 Helper</t>
        </is>
      </c>
      <c r="N41" s="18" t="n"/>
      <c r="O41" s="18" t="n"/>
      <c r="P41" s="18" t="n"/>
      <c r="Q41" s="82" t="n"/>
      <c r="R41" s="83" t="n"/>
    </row>
    <row r="42" ht="15" customHeight="1" s="175">
      <c r="A42" s="11" t="n">
        <v>12</v>
      </c>
      <c r="B42" s="80" t="inlineStr">
        <is>
          <t>Third-Party Inspection (TPI)</t>
        </is>
      </c>
      <c r="C42" s="212" t="n"/>
      <c r="D42" s="212" t="n"/>
      <c r="E42" s="212" t="n"/>
      <c r="F42" s="212" t="n"/>
      <c r="G42" s="213" t="n">
        <v>0</v>
      </c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11" t="n"/>
    </row>
    <row r="43" ht="15" customHeight="1" s="175">
      <c r="A43" s="11" t="n">
        <v>13</v>
      </c>
      <c r="B43" s="80" t="inlineStr">
        <is>
          <t>QA/QC Documentation &amp; Certification</t>
        </is>
      </c>
      <c r="C43" s="212" t="n"/>
      <c r="D43" s="212" t="n"/>
      <c r="E43" s="212" t="n"/>
      <c r="F43" s="212" t="n"/>
      <c r="G43" s="213" t="n">
        <v>1</v>
      </c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82" t="n"/>
      <c r="R43" s="83" t="n"/>
    </row>
    <row r="44">
      <c r="A44" s="11" t="n">
        <v>14</v>
      </c>
      <c r="B44" s="80" t="inlineStr">
        <is>
          <t>Packing and loading</t>
        </is>
      </c>
      <c r="C44" s="212" t="n"/>
      <c r="D44" s="212" t="n"/>
      <c r="E44" s="212" t="n"/>
      <c r="F44" s="212" t="n"/>
      <c r="G44" s="213" t="n">
        <v>1</v>
      </c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82" t="n"/>
      <c r="R44" s="83" t="n"/>
    </row>
    <row r="45">
      <c r="A45" s="11" t="n">
        <v>16</v>
      </c>
      <c r="B45" s="80" t="inlineStr">
        <is>
          <t>Insurance</t>
        </is>
      </c>
      <c r="C45" s="81" t="n"/>
      <c r="D45" s="81" t="n"/>
      <c r="E45" s="81" t="n"/>
      <c r="F45" s="81" t="n"/>
      <c r="G45" s="213" t="n">
        <v>0</v>
      </c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82" t="n"/>
      <c r="R45" s="83" t="n"/>
    </row>
    <row r="46">
      <c r="A46" s="11" t="n">
        <v>17</v>
      </c>
      <c r="B46" s="80" t="inlineStr">
        <is>
          <t>Permits, Licenses &amp; Regulatory Fees</t>
        </is>
      </c>
      <c r="C46" s="212" t="n"/>
      <c r="D46" s="212" t="n"/>
      <c r="E46" s="212" t="n"/>
      <c r="F46" s="212" t="n"/>
      <c r="G46" s="213" t="n">
        <v>0</v>
      </c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11" t="n"/>
    </row>
    <row r="47">
      <c r="A47" s="11" t="n">
        <v>18</v>
      </c>
      <c r="B47" s="80" t="inlineStr">
        <is>
          <t>Equipment Rental &amp; Maintenance</t>
        </is>
      </c>
      <c r="C47" s="212" t="n"/>
      <c r="D47" s="212" t="n"/>
      <c r="E47" s="212" t="n"/>
      <c r="F47" s="212" t="n"/>
      <c r="G47" s="213" t="n">
        <v>0</v>
      </c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11" t="n"/>
    </row>
    <row r="48">
      <c r="A48" s="11" t="n">
        <v>20</v>
      </c>
      <c r="B48" s="80" t="inlineStr">
        <is>
          <t>Contingency Fund</t>
        </is>
      </c>
      <c r="C48" s="212" t="n"/>
      <c r="D48" s="212" t="n"/>
      <c r="E48" s="212" t="n"/>
      <c r="F48" s="212" t="n"/>
      <c r="G48" s="213" t="n">
        <v>0</v>
      </c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11" t="n"/>
    </row>
    <row r="49">
      <c r="A49" s="11" t="n">
        <v>21</v>
      </c>
      <c r="B49" s="80" t="inlineStr">
        <is>
          <t>Taxes &amp; Duties</t>
        </is>
      </c>
      <c r="C49" s="212" t="n"/>
      <c r="D49" s="212" t="n"/>
      <c r="E49" s="212" t="n"/>
      <c r="F49" s="212" t="n"/>
      <c r="G49" s="213" t="n">
        <v>0</v>
      </c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11" t="n"/>
    </row>
    <row r="50">
      <c r="A50" s="11" t="n">
        <v>22</v>
      </c>
      <c r="B50" s="80" t="inlineStr">
        <is>
          <t>Warranty &amp; Guarantee Costs</t>
        </is>
      </c>
      <c r="C50" s="212" t="n"/>
      <c r="D50" s="212" t="n"/>
      <c r="E50" s="212" t="n"/>
      <c r="F50" s="212" t="n"/>
      <c r="G50" s="213" t="n">
        <v>0</v>
      </c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11" t="n"/>
    </row>
    <row r="51">
      <c r="A51" s="11" t="n">
        <v>23</v>
      </c>
      <c r="B51" s="80" t="inlineStr">
        <is>
          <t>Project Management Fees</t>
        </is>
      </c>
      <c r="C51" s="212" t="n"/>
      <c r="D51" s="212" t="n"/>
      <c r="E51" s="212" t="n"/>
      <c r="F51" s="212" t="n"/>
      <c r="G51" s="213" t="n">
        <v>0</v>
      </c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11" t="n"/>
    </row>
    <row r="52">
      <c r="A52" s="11" t="n">
        <v>24</v>
      </c>
      <c r="B52" s="80" t="inlineStr">
        <is>
          <t>Environmental Compliance Costs</t>
        </is>
      </c>
      <c r="C52" s="212" t="n"/>
      <c r="D52" s="212" t="n"/>
      <c r="E52" s="212" t="n"/>
      <c r="F52" s="212" t="n"/>
      <c r="G52" s="213" t="n">
        <v>0</v>
      </c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11" t="n"/>
    </row>
    <row r="53">
      <c r="A53" s="11" t="n">
        <v>25</v>
      </c>
      <c r="B53" s="80" t="inlineStr">
        <is>
          <t>Training &amp; Certification</t>
        </is>
      </c>
      <c r="C53" s="212" t="n"/>
      <c r="D53" s="212" t="n"/>
      <c r="E53" s="212" t="n"/>
      <c r="F53" s="212" t="n"/>
      <c r="G53" s="213" t="n">
        <v>0</v>
      </c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11" t="n"/>
    </row>
    <row r="54" ht="24.6" customHeight="1" s="175" thickBot="1">
      <c r="A54" s="11" t="n">
        <v>26</v>
      </c>
      <c r="B54" s="80" t="inlineStr">
        <is>
          <t>Marketing &amp; Sales Costs</t>
        </is>
      </c>
      <c r="C54" s="212" t="n"/>
      <c r="D54" s="212" t="n"/>
      <c r="E54" s="212" t="n"/>
      <c r="F54" s="212" t="n"/>
      <c r="G54" s="213" t="n">
        <v>0</v>
      </c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11" t="n"/>
      <c r="S54" s="179">
        <f>SUM(S15:S43)</f>
        <v/>
      </c>
    </row>
    <row r="55" ht="24.6" customHeight="1" s="175" thickBot="1">
      <c r="A55" s="84" t="inlineStr">
        <is>
          <t>Total cost</t>
        </is>
      </c>
      <c r="B55" s="181" t="n"/>
      <c r="C55" s="181" t="n"/>
      <c r="D55" s="231" t="n">
        <v>886.3</v>
      </c>
      <c r="E55" s="181" t="n"/>
      <c r="F55" s="182" t="n"/>
      <c r="G55" s="177" t="inlineStr">
        <is>
          <t>ESTIMATION
 ENGR.</t>
        </is>
      </c>
      <c r="I55" s="177" t="n"/>
      <c r="J55" s="68" t="inlineStr">
        <is>
          <t>Sachin Ahire</t>
        </is>
      </c>
      <c r="K55" s="174" t="n"/>
      <c r="L55" s="70" t="n"/>
      <c r="M55" s="90" t="inlineStr">
        <is>
          <t>PLANNING
 ENGR.</t>
        </is>
      </c>
      <c r="N55" s="181" t="n"/>
      <c r="O55" s="181" t="n"/>
      <c r="P55" s="232" t="inlineStr">
        <is>
          <t>Sachin Ahire</t>
        </is>
      </c>
      <c r="Q55" s="181" t="n"/>
      <c r="R55" s="182" t="n"/>
    </row>
    <row r="56" ht="24.6" customHeight="1" s="175" thickBot="1">
      <c r="A56" s="75" t="inlineStr">
        <is>
          <t xml:space="preserve">19.Overheads </t>
        </is>
      </c>
      <c r="B56" s="183" t="n"/>
      <c r="C56" s="183" t="n"/>
      <c r="D56" s="233" t="n">
        <v>106.36</v>
      </c>
      <c r="E56" s="183" t="n"/>
      <c r="F56" s="188" t="n"/>
      <c r="G56" s="66" t="inlineStr">
        <is>
          <t>MANAGER:</t>
        </is>
      </c>
      <c r="H56" s="183" t="n"/>
      <c r="I56" s="66" t="n"/>
      <c r="J56" s="68" t="inlineStr">
        <is>
          <t>Subash Valrani</t>
        </is>
      </c>
      <c r="K56" s="174" t="n"/>
      <c r="L56" s="70" t="n"/>
      <c r="M56" s="66" t="inlineStr">
        <is>
          <t>MANAGER:</t>
        </is>
      </c>
      <c r="N56" s="183" t="n"/>
      <c r="O56" s="183" t="n"/>
      <c r="P56" s="190" t="inlineStr">
        <is>
          <t>Subash Valrani</t>
        </is>
      </c>
      <c r="Q56" s="183" t="n"/>
      <c r="R56" s="188" t="n"/>
    </row>
    <row r="57" ht="24.6" customHeight="1" s="175" thickBot="1">
      <c r="A57" s="58" t="inlineStr">
        <is>
          <t>GRAND TOTAL</t>
        </is>
      </c>
      <c r="B57" s="185" t="n"/>
      <c r="C57" s="185" t="n"/>
      <c r="D57" s="234" t="n">
        <v>992.66</v>
      </c>
      <c r="E57" s="185" t="n"/>
      <c r="F57" s="186" t="n"/>
      <c r="G57" s="71" t="n"/>
      <c r="H57" s="71" t="n"/>
      <c r="I57" s="71" t="n"/>
      <c r="J57" s="68" t="n"/>
      <c r="K57" s="174" t="n"/>
      <c r="L57" s="70" t="n"/>
      <c r="M57" s="235" t="inlineStr">
        <is>
          <t>ACCOUNTANT:</t>
        </is>
      </c>
      <c r="N57" s="183" t="n"/>
      <c r="O57" s="188" t="n"/>
      <c r="P57" s="190" t="inlineStr">
        <is>
          <t>Zeeshan</t>
        </is>
      </c>
      <c r="Q57" s="183" t="n"/>
      <c r="R57" s="188" t="n"/>
    </row>
    <row r="58" ht="15.75" customFormat="1" customHeight="1" s="179" thickBot="1">
      <c r="A58" s="58" t="inlineStr">
        <is>
          <t>Selling Price</t>
        </is>
      </c>
      <c r="B58" s="185" t="n"/>
      <c r="C58" s="185" t="n"/>
      <c r="D58" s="234" t="n">
        <v>1141.55</v>
      </c>
      <c r="E58" s="185" t="n"/>
      <c r="F58" s="186" t="n"/>
      <c r="G58" s="71" t="n"/>
      <c r="H58" s="185" t="n"/>
      <c r="I58" s="71" t="n"/>
      <c r="J58" s="68" t="n"/>
      <c r="K58" s="174" t="n"/>
      <c r="L58" s="70" t="n"/>
      <c r="M58" s="190" t="n"/>
      <c r="N58" s="183" t="n"/>
      <c r="O58" s="188" t="n"/>
      <c r="P58" s="236" t="n"/>
      <c r="Q58" s="185" t="n"/>
      <c r="R58" s="186" t="n"/>
    </row>
    <row r="59" ht="15.75" customFormat="1" customHeight="1" s="179" thickBot="1">
      <c r="A59" s="58" t="inlineStr">
        <is>
          <t>Net Profit</t>
        </is>
      </c>
      <c r="B59" s="185" t="n"/>
      <c r="C59" s="185" t="n"/>
      <c r="D59" s="234" t="n">
        <v>148.89</v>
      </c>
      <c r="E59" s="185" t="n"/>
      <c r="F59" s="186" t="n"/>
      <c r="K59" s="176" t="n"/>
    </row>
    <row r="60" customFormat="1" s="179">
      <c r="A60" s="44" t="n"/>
      <c r="B60" s="44" t="n"/>
      <c r="K60" s="176" t="n"/>
    </row>
    <row r="61" customFormat="1" s="179">
      <c r="F61" s="237" t="n">
        <v>0.1304279269414393</v>
      </c>
      <c r="K61" s="176" t="n"/>
    </row>
    <row r="62" ht="15.75" customFormat="1" customHeight="1" s="179">
      <c r="A62" s="45" t="n"/>
      <c r="B62" s="229">
        <f>D58-D55</f>
        <v/>
      </c>
      <c r="D62" s="229" t="n"/>
      <c r="F62" s="238" t="n"/>
      <c r="H62" s="229" t="n"/>
      <c r="K62" s="176" t="n"/>
    </row>
    <row r="63" customFormat="1" s="179">
      <c r="A63" s="47" t="n"/>
      <c r="K63" s="176" t="n"/>
    </row>
    <row r="64" customFormat="1" s="179">
      <c r="A64" s="47" t="n"/>
      <c r="K64" s="176" t="n"/>
    </row>
    <row r="65">
      <c r="K65" s="176" t="n"/>
    </row>
    <row r="66">
      <c r="K66" s="176" t="n"/>
    </row>
    <row r="67">
      <c r="K67" s="177" t="n"/>
    </row>
    <row r="68">
      <c r="K68" s="177" t="n"/>
    </row>
    <row r="69">
      <c r="K69" s="177" t="n"/>
    </row>
    <row r="70" customFormat="1" s="179">
      <c r="K70" s="177" t="n"/>
      <c r="L70" s="179" t="n"/>
    </row>
    <row r="71" customFormat="1" s="179">
      <c r="L71" s="179" t="n"/>
    </row>
    <row r="72"/>
    <row r="73"/>
    <row r="74"/>
  </sheetData>
  <mergeCells count="140">
    <mergeCell ref="O7:P7"/>
    <mergeCell ref="Q7:R7"/>
    <mergeCell ref="C6:D6"/>
    <mergeCell ref="Q21:R21"/>
    <mergeCell ref="O12:R12"/>
    <mergeCell ref="B16:F16"/>
    <mergeCell ref="G6:L6"/>
    <mergeCell ref="B25:F25"/>
    <mergeCell ref="A57:C57"/>
    <mergeCell ref="B18:F18"/>
    <mergeCell ref="E8:F8"/>
    <mergeCell ref="B52:F52"/>
    <mergeCell ref="G5:L5"/>
    <mergeCell ref="A7:B7"/>
    <mergeCell ref="B42:F42"/>
    <mergeCell ref="M10:N10"/>
    <mergeCell ref="Q51:R51"/>
    <mergeCell ref="G4:L4"/>
    <mergeCell ref="Q26:R26"/>
    <mergeCell ref="O6:R6"/>
    <mergeCell ref="B44:F44"/>
    <mergeCell ref="B53:F53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E5:F5"/>
    <mergeCell ref="O11:R11"/>
    <mergeCell ref="Q52:R52"/>
    <mergeCell ref="A55:C55"/>
    <mergeCell ref="C4:D4"/>
    <mergeCell ref="J7:L7"/>
    <mergeCell ref="E4:F4"/>
    <mergeCell ref="B43:F43"/>
    <mergeCell ref="Q54:R5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M9:N9"/>
    <mergeCell ref="B31:F31"/>
    <mergeCell ref="M5:N5"/>
    <mergeCell ref="M13:R13"/>
    <mergeCell ref="B46:F46"/>
    <mergeCell ref="Q42:R42"/>
    <mergeCell ref="B21:F21"/>
    <mergeCell ref="B39:F39"/>
    <mergeCell ref="M11:N11"/>
    <mergeCell ref="B48:F48"/>
    <mergeCell ref="Q20:R20"/>
    <mergeCell ref="Q14:R14"/>
    <mergeCell ref="D58:F58"/>
    <mergeCell ref="B23:F23"/>
    <mergeCell ref="A12:B12"/>
    <mergeCell ref="O9:R9"/>
    <mergeCell ref="C12:D12"/>
    <mergeCell ref="E6:F6"/>
    <mergeCell ref="M12:N12"/>
    <mergeCell ref="A5:B5"/>
    <mergeCell ref="G9:L9"/>
    <mergeCell ref="Q46:R46"/>
    <mergeCell ref="O5:R5"/>
    <mergeCell ref="D59:F59"/>
    <mergeCell ref="A59:C59"/>
    <mergeCell ref="A4:B4"/>
    <mergeCell ref="G11:L11"/>
    <mergeCell ref="O4:R4"/>
    <mergeCell ref="Q48:R48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19:R19"/>
    <mergeCell ref="O10:R10"/>
    <mergeCell ref="C9:D9"/>
    <mergeCell ref="B14:F14"/>
    <mergeCell ref="E9:F9"/>
    <mergeCell ref="Q50:R50"/>
    <mergeCell ref="B29:F29"/>
    <mergeCell ref="B38:F38"/>
    <mergeCell ref="M6:N6"/>
    <mergeCell ref="C11:D11"/>
    <mergeCell ref="P58:R58"/>
    <mergeCell ref="E11:F11"/>
    <mergeCell ref="Q22:R22"/>
    <mergeCell ref="B40:F40"/>
    <mergeCell ref="B49:F49"/>
    <mergeCell ref="G55:H55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6" customWidth="1" style="175" min="1" max="1"/>
    <col width="18" customWidth="1" style="175" min="2" max="2"/>
    <col width="16" customWidth="1" style="175" min="3" max="3"/>
  </cols>
  <sheetData>
    <row r="1">
      <c r="A1" s="239" t="inlineStr">
        <is>
          <t>RATE CONFIGURATION SNAPSHOT</t>
        </is>
      </c>
    </row>
    <row r="3">
      <c r="A3" s="240" t="inlineStr">
        <is>
          <t>Parameter</t>
        </is>
      </c>
      <c r="B3" s="240" t="inlineStr">
        <is>
          <t>Value</t>
        </is>
      </c>
      <c r="C3" s="240" t="inlineStr">
        <is>
          <t>Unit</t>
        </is>
      </c>
    </row>
    <row r="4">
      <c r="A4" s="241" t="inlineStr">
        <is>
          <t>material_rate_per_kg</t>
        </is>
      </c>
      <c r="B4" s="242" t="n">
        <v>3.5</v>
      </c>
      <c r="C4" s="241" t="inlineStr">
        <is>
          <t>AED/kg</t>
        </is>
      </c>
    </row>
    <row r="5">
      <c r="A5" s="241" t="inlineStr">
        <is>
          <t>fabrication_rate_per_kg</t>
        </is>
      </c>
      <c r="B5" s="242" t="n">
        <v>6</v>
      </c>
      <c r="C5" s="241" t="inlineStr"/>
    </row>
    <row r="6">
      <c r="A6" s="241" t="inlineStr">
        <is>
          <t>fabrication_hourly_rate</t>
        </is>
      </c>
      <c r="B6" s="242" t="n">
        <v>45</v>
      </c>
      <c r="C6" s="241" t="inlineStr">
        <is>
          <t>AED/hr</t>
        </is>
      </c>
    </row>
    <row r="7">
      <c r="A7" s="241" t="inlineStr">
        <is>
          <t>manhour_factor_hr_per_kg</t>
        </is>
      </c>
      <c r="B7" s="242" t="n">
        <v>0.15</v>
      </c>
      <c r="C7" s="241" t="inlineStr"/>
    </row>
    <row r="8">
      <c r="A8" s="241" t="inlineStr">
        <is>
          <t>welding_time_per_m_hr</t>
        </is>
      </c>
      <c r="B8" s="242" t="n">
        <v>0.8</v>
      </c>
      <c r="C8" s="241" t="inlineStr"/>
    </row>
    <row r="9">
      <c r="A9" s="241" t="inlineStr">
        <is>
          <t>welding_hourly_rate</t>
        </is>
      </c>
      <c r="B9" s="242" t="n">
        <v>45</v>
      </c>
      <c r="C9" s="241" t="inlineStr">
        <is>
          <t>AED/hr</t>
        </is>
      </c>
    </row>
    <row r="10">
      <c r="A10" s="241" t="inlineStr">
        <is>
          <t>consumable_factor_kg_per_m</t>
        </is>
      </c>
      <c r="B10" s="242" t="n">
        <v>0.12</v>
      </c>
      <c r="C10" s="241" t="inlineStr"/>
    </row>
    <row r="11">
      <c r="A11" s="241" t="inlineStr">
        <is>
          <t>consumable_unit_rate</t>
        </is>
      </c>
      <c r="B11" s="242" t="n">
        <v>15</v>
      </c>
      <c r="C11" s="241" t="inlineStr"/>
    </row>
    <row r="12">
      <c r="A12" s="241" t="inlineStr">
        <is>
          <t>cutting_rate_per_cut</t>
        </is>
      </c>
      <c r="B12" s="242" t="n">
        <v>25</v>
      </c>
      <c r="C12" s="241" t="inlineStr"/>
    </row>
    <row r="13">
      <c r="A13" s="241" t="inlineStr">
        <is>
          <t>surface_treatment_rate_per_m2</t>
        </is>
      </c>
      <c r="B13" s="242" t="n">
        <v>55</v>
      </c>
      <c r="C13" s="241" t="inlineStr">
        <is>
          <t>AED/m2</t>
        </is>
      </c>
    </row>
    <row r="14">
      <c r="A14" s="241" t="inlineStr">
        <is>
          <t>overhead_percentage</t>
        </is>
      </c>
      <c r="B14" s="242" t="n">
        <v>12</v>
      </c>
      <c r="C14" s="241" t="inlineStr">
        <is>
          <t>%</t>
        </is>
      </c>
    </row>
    <row r="15">
      <c r="A15" s="241" t="inlineStr">
        <is>
          <t>profit_margin_percentage</t>
        </is>
      </c>
      <c r="B15" s="242" t="n">
        <v>15</v>
      </c>
      <c r="C15" s="241" t="inlineStr">
        <is>
          <t>%</t>
        </is>
      </c>
    </row>
    <row r="16">
      <c r="A16" s="241" t="inlineStr">
        <is>
          <t>steel_density_kg_m3</t>
        </is>
      </c>
      <c r="B16" s="242" t="n">
        <v>7850</v>
      </c>
      <c r="C16" s="241" t="inlineStr"/>
    </row>
    <row r="17">
      <c r="A17" s="241" t="inlineStr">
        <is>
          <t>weld_length_per_joint_mm</t>
        </is>
      </c>
      <c r="B17" s="242" t="n">
        <v>150</v>
      </c>
      <c r="C17" s="241" t="inlineStr"/>
    </row>
    <row r="18">
      <c r="A18" s="241" t="inlineStr">
        <is>
          <t>structural_steel_aed_per_kg</t>
        </is>
      </c>
      <c r="B18" s="242" t="n">
        <v>5.5</v>
      </c>
      <c r="C18" s="241" t="inlineStr"/>
    </row>
    <row r="19">
      <c r="A19" s="241" t="inlineStr">
        <is>
          <t>stainless_steel_aed_per_kg</t>
        </is>
      </c>
      <c r="B19" s="242" t="n">
        <v>22</v>
      </c>
      <c r="C19" s="241" t="inlineStr"/>
    </row>
    <row r="20">
      <c r="A20" s="241" t="inlineStr">
        <is>
          <t>bolt_m16_aed_per_piece</t>
        </is>
      </c>
      <c r="B20" s="242" t="n">
        <v>2.5</v>
      </c>
      <c r="C20" s="241" t="inlineStr"/>
    </row>
    <row r="21">
      <c r="A21" s="241" t="inlineStr">
        <is>
          <t>bolt_m20_aed_per_piece</t>
        </is>
      </c>
      <c r="B21" s="242" t="n">
        <v>3.8</v>
      </c>
      <c r="C21" s="241" t="inlineStr"/>
    </row>
    <row r="22">
      <c r="A22" s="241" t="inlineStr">
        <is>
          <t>bolt_m24_aed_per_piece</t>
        </is>
      </c>
      <c r="B22" s="242" t="n">
        <v>5.2</v>
      </c>
      <c r="C22" s="241" t="inlineStr"/>
    </row>
    <row r="23">
      <c r="A23" s="241" t="inlineStr">
        <is>
          <t>consumables_percentage_of_steel</t>
        </is>
      </c>
      <c r="B23" s="242" t="n">
        <v>3.5</v>
      </c>
      <c r="C23" s="241" t="inlineStr"/>
    </row>
    <row r="24">
      <c r="A24" s="241" t="inlineStr">
        <is>
          <t>paint_2pack_epoxy_aed_per_litre</t>
        </is>
      </c>
      <c r="B24" s="242" t="n">
        <v>85</v>
      </c>
      <c r="C24" s="241" t="inlineStr"/>
    </row>
    <row r="25">
      <c r="A25" s="241" t="inlineStr">
        <is>
          <t>paint_coverage_factor_m2_per_litre</t>
        </is>
      </c>
      <c r="B25" s="242" t="n">
        <v>6.67</v>
      </c>
      <c r="C25" s="241" t="inlineStr"/>
    </row>
    <row r="26">
      <c r="A26" s="241" t="inlineStr">
        <is>
          <t>labour_hourly_rate_aed</t>
        </is>
      </c>
      <c r="B26" s="242" t="n">
        <v>35</v>
      </c>
      <c r="C26" s="241" t="inlineStr"/>
    </row>
    <row r="27">
      <c r="A27" s="241" t="inlineStr">
        <is>
          <t>welding_manhours_per_kg</t>
        </is>
      </c>
      <c r="B27" s="242" t="n">
        <v>0.35</v>
      </c>
      <c r="C27" s="241" t="inlineStr"/>
    </row>
    <row r="28">
      <c r="A28" s="241" t="inlineStr">
        <is>
          <t>fabrication_manhours_per_kg</t>
        </is>
      </c>
      <c r="B28" s="242" t="n">
        <v>0.28</v>
      </c>
      <c r="C28" s="241" t="inlineStr"/>
    </row>
    <row r="29">
      <c r="A29" s="241" t="inlineStr">
        <is>
          <t>fitting_manhours_per_kg</t>
        </is>
      </c>
      <c r="B29" s="242" t="n">
        <v>0.18</v>
      </c>
      <c r="C29" s="241" t="inlineStr"/>
    </row>
    <row r="30">
      <c r="A30" s="241" t="inlineStr">
        <is>
          <t>grinding_manhours_per_kg</t>
        </is>
      </c>
      <c r="B30" s="242" t="n">
        <v>0.07000000000000001</v>
      </c>
      <c r="C30" s="241" t="inlineStr"/>
    </row>
    <row r="31">
      <c r="A31" s="241" t="inlineStr">
        <is>
          <t>galvanizing_aed_per_kg</t>
        </is>
      </c>
      <c r="B31" s="242" t="n">
        <v>3.2</v>
      </c>
      <c r="C31" s="241" t="inlineStr"/>
    </row>
    <row r="32">
      <c r="A32" s="241" t="inlineStr">
        <is>
          <t>blasting_sa25_aed_per_m2</t>
        </is>
      </c>
      <c r="B32" s="242" t="n">
        <v>12</v>
      </c>
      <c r="C32" s="241" t="inlineStr"/>
    </row>
    <row r="33">
      <c r="A33" s="241" t="inlineStr">
        <is>
          <t>painting_aed_per_m2</t>
        </is>
      </c>
      <c r="B33" s="242" t="n">
        <v>18</v>
      </c>
      <c r="C33" s="241" t="inlineStr"/>
    </row>
    <row r="34">
      <c r="A34" s="241" t="inlineStr">
        <is>
          <t>surface_area_factor_m2_per_kg</t>
        </is>
      </c>
      <c r="B34" s="242" t="n">
        <v>0.0256</v>
      </c>
      <c r="C34" s="241" t="inlineStr"/>
    </row>
    <row r="35">
      <c r="A35" s="241" t="inlineStr">
        <is>
          <t>transport_percentage_of_total</t>
        </is>
      </c>
      <c r="B35" s="242" t="n">
        <v>2.5</v>
      </c>
      <c r="C35" s="241" t="inlineStr"/>
    </row>
    <row r="36">
      <c r="A36" s="241" t="inlineStr">
        <is>
          <t>transport_minimum_aed</t>
        </is>
      </c>
      <c r="B36" s="242" t="n">
        <v>1500</v>
      </c>
      <c r="C36" s="241" t="inlineStr"/>
    </row>
    <row r="37">
      <c r="A37" s="241" t="inlineStr">
        <is>
          <t>standard_schedule_weeks</t>
        </is>
      </c>
      <c r="B37" s="242" t="n">
        <v>4</v>
      </c>
      <c r="C37" s="241" t="inlineStr"/>
    </row>
    <row r="38">
      <c r="A38" s="241" t="inlineStr">
        <is>
          <t>rush_surcharge_percentage</t>
        </is>
      </c>
      <c r="B38" s="242" t="n">
        <v>20</v>
      </c>
      <c r="C38" s="241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4" customWidth="1" style="175" min="1" max="1"/>
    <col width="14" customWidth="1" style="175" min="2" max="2"/>
    <col width="80" customWidth="1" style="175" min="3" max="3"/>
  </cols>
  <sheetData>
    <row r="1">
      <c r="A1" s="239" t="inlineStr">
        <is>
          <t>CALCULATION AUDIT TRAIL</t>
        </is>
      </c>
    </row>
    <row r="2">
      <c r="A2" s="240" t="inlineStr">
        <is>
          <t>Step / Item</t>
        </is>
      </c>
      <c r="B2" s="240" t="inlineStr">
        <is>
          <t>Status</t>
        </is>
      </c>
      <c r="C2" s="240" t="inlineStr">
        <is>
          <t>Details</t>
        </is>
      </c>
    </row>
    <row r="3">
      <c r="A3" s="243" t="inlineStr">
        <is>
          <t>CS-2620-001</t>
        </is>
      </c>
      <c r="B3" s="243" t="inlineStr">
        <is>
          <t>calculated</t>
        </is>
      </c>
      <c r="C3" s="243" t="inlineStr">
        <is>
          <t>{'total_direct_cost': 25.0}</t>
        </is>
      </c>
    </row>
    <row r="4">
      <c r="A4" s="243" t="inlineStr">
        <is>
          <t>CS-2620-001</t>
        </is>
      </c>
      <c r="B4" s="243" t="inlineStr">
        <is>
          <t>calculated</t>
        </is>
      </c>
      <c r="C4" s="243" t="inlineStr">
        <is>
          <t>{'total_direct_cost': 25.0}</t>
        </is>
      </c>
    </row>
    <row r="5">
      <c r="A5" s="243" t="inlineStr">
        <is>
          <t>CS-2620-001</t>
        </is>
      </c>
      <c r="B5" s="243" t="inlineStr">
        <is>
          <t>calculated</t>
        </is>
      </c>
      <c r="C5" s="243" t="inlineStr">
        <is>
          <t>{'total_direct_cost': 50.0}</t>
        </is>
      </c>
    </row>
    <row r="6">
      <c r="A6" s="243" t="inlineStr">
        <is>
          <t>CS-2620-001</t>
        </is>
      </c>
      <c r="B6" s="243" t="inlineStr">
        <is>
          <t>calculated</t>
        </is>
      </c>
      <c r="C6" s="243" t="inlineStr">
        <is>
          <t>{'total_direct_cost': 68.55}</t>
        </is>
      </c>
    </row>
    <row r="7">
      <c r="A7" s="243" t="inlineStr">
        <is>
          <t>CS-2620-002</t>
        </is>
      </c>
      <c r="B7" s="243" t="inlineStr">
        <is>
          <t>calculated</t>
        </is>
      </c>
      <c r="C7" s="243" t="inlineStr">
        <is>
          <t>{'total_direct_cost': 25.0}</t>
        </is>
      </c>
    </row>
    <row r="8">
      <c r="A8" s="243" t="inlineStr">
        <is>
          <t>CS-2620-002</t>
        </is>
      </c>
      <c r="B8" s="243" t="inlineStr">
        <is>
          <t>calculated</t>
        </is>
      </c>
      <c r="C8" s="243" t="inlineStr">
        <is>
          <t>{'total_direct_cost': 25.0}</t>
        </is>
      </c>
    </row>
    <row r="9">
      <c r="A9" s="243" t="inlineStr">
        <is>
          <t>CS-2620-002</t>
        </is>
      </c>
      <c r="B9" s="243" t="inlineStr">
        <is>
          <t>calculated</t>
        </is>
      </c>
      <c r="C9" s="243" t="inlineStr">
        <is>
          <t>{'total_direct_cost': 68.55}</t>
        </is>
      </c>
    </row>
    <row r="10">
      <c r="A10" s="243" t="inlineStr">
        <is>
          <t>CS-2620-003</t>
        </is>
      </c>
      <c r="B10" s="243" t="inlineStr">
        <is>
          <t>calculated</t>
        </is>
      </c>
      <c r="C10" s="243" t="inlineStr">
        <is>
          <t>{'total_direct_cost': 25.0}</t>
        </is>
      </c>
    </row>
    <row r="11">
      <c r="A11" s="243" t="inlineStr">
        <is>
          <t>CS-2620-003</t>
        </is>
      </c>
      <c r="B11" s="243" t="inlineStr">
        <is>
          <t>calculated</t>
        </is>
      </c>
      <c r="C11" s="243" t="inlineStr">
        <is>
          <t>{'total_direct_cost': 25.0}</t>
        </is>
      </c>
    </row>
    <row r="12">
      <c r="A12" s="243" t="inlineStr">
        <is>
          <t>CS-2620-003</t>
        </is>
      </c>
      <c r="B12" s="243" t="inlineStr">
        <is>
          <t>calculated</t>
        </is>
      </c>
      <c r="C12" s="243" t="inlineStr">
        <is>
          <t>{'total_direct_cost': 68.55}</t>
        </is>
      </c>
    </row>
    <row r="13">
      <c r="A13" s="243" t="inlineStr">
        <is>
          <t>CS-2620-004</t>
        </is>
      </c>
      <c r="B13" s="243" t="inlineStr">
        <is>
          <t>calculated</t>
        </is>
      </c>
      <c r="C13" s="243" t="inlineStr">
        <is>
          <t>{'total_direct_cost': 25.0}</t>
        </is>
      </c>
    </row>
    <row r="14">
      <c r="A14" s="243" t="inlineStr">
        <is>
          <t>CS-2620-004</t>
        </is>
      </c>
      <c r="B14" s="243" t="inlineStr">
        <is>
          <t>calculated</t>
        </is>
      </c>
      <c r="C14" s="243" t="inlineStr">
        <is>
          <t>{'total_direct_cost': 25.0}</t>
        </is>
      </c>
    </row>
    <row r="15">
      <c r="A15" s="243" t="inlineStr">
        <is>
          <t>CS-2620-004</t>
        </is>
      </c>
      <c r="B15" s="243" t="inlineStr">
        <is>
          <t>calculated</t>
        </is>
      </c>
      <c r="C15" s="243" t="inlineStr">
        <is>
          <t>{'total_direct_cost': 50.0}</t>
        </is>
      </c>
    </row>
    <row r="16">
      <c r="A16" s="243" t="inlineStr">
        <is>
          <t>CS-2620-004</t>
        </is>
      </c>
      <c r="B16" s="243" t="inlineStr">
        <is>
          <t>calculated</t>
        </is>
      </c>
      <c r="C16" s="243" t="inlineStr">
        <is>
          <t>{'total_direct_cost': 68.55}</t>
        </is>
      </c>
    </row>
    <row r="17">
      <c r="A17" s="243" t="inlineStr">
        <is>
          <t>CS-2620-005</t>
        </is>
      </c>
      <c r="B17" s="243" t="inlineStr">
        <is>
          <t>calculated</t>
        </is>
      </c>
      <c r="C17" s="243" t="inlineStr">
        <is>
          <t>{'total_direct_cost': 25.0}</t>
        </is>
      </c>
    </row>
    <row r="18">
      <c r="A18" s="243" t="inlineStr">
        <is>
          <t>CS-2620-005</t>
        </is>
      </c>
      <c r="B18" s="243" t="inlineStr">
        <is>
          <t>calculated</t>
        </is>
      </c>
      <c r="C18" s="243" t="inlineStr">
        <is>
          <t>{'total_direct_cost': 25.0}</t>
        </is>
      </c>
    </row>
    <row r="19">
      <c r="A19" s="243" t="inlineStr">
        <is>
          <t>CS-2620-005</t>
        </is>
      </c>
      <c r="B19" s="243" t="inlineStr">
        <is>
          <t>calculated</t>
        </is>
      </c>
      <c r="C19" s="243" t="inlineStr">
        <is>
          <t>{'total_direct_cost': 50.0}</t>
        </is>
      </c>
    </row>
    <row r="20">
      <c r="A20" s="243" t="inlineStr">
        <is>
          <t>CS-2620-005</t>
        </is>
      </c>
      <c r="B20" s="243" t="inlineStr">
        <is>
          <t>calculated</t>
        </is>
      </c>
      <c r="C20" s="243" t="inlineStr">
        <is>
          <t>{'total_direct_cost': 68.55}</t>
        </is>
      </c>
    </row>
    <row r="21">
      <c r="A21" s="243" t="inlineStr">
        <is>
          <t>CS-2620-006</t>
        </is>
      </c>
      <c r="B21" s="243" t="inlineStr">
        <is>
          <t>calculated</t>
        </is>
      </c>
      <c r="C21" s="243" t="inlineStr">
        <is>
          <t>{'total_direct_cost': 25.0}</t>
        </is>
      </c>
    </row>
    <row r="22">
      <c r="A22" s="243" t="inlineStr">
        <is>
          <t>CS-2620-006</t>
        </is>
      </c>
      <c r="B22" s="243" t="inlineStr">
        <is>
          <t>calculated</t>
        </is>
      </c>
      <c r="C22" s="243" t="inlineStr">
        <is>
          <t>{'total_direct_cost': 25.0}</t>
        </is>
      </c>
    </row>
    <row r="23">
      <c r="A23" s="243" t="inlineStr">
        <is>
          <t>CS-2620-006</t>
        </is>
      </c>
      <c r="B23" s="243" t="inlineStr">
        <is>
          <t>calculated</t>
        </is>
      </c>
      <c r="C23" s="243" t="inlineStr">
        <is>
          <t>{'total_direct_cost': 68.55}</t>
        </is>
      </c>
    </row>
    <row r="24">
      <c r="A24" s="243" t="inlineStr">
        <is>
          <t>CS-2620-007</t>
        </is>
      </c>
      <c r="B24" s="243" t="inlineStr">
        <is>
          <t>calculated</t>
        </is>
      </c>
      <c r="C24" s="243" t="inlineStr">
        <is>
          <t>{'total_direct_cost': 25.0}</t>
        </is>
      </c>
    </row>
    <row r="25">
      <c r="A25" s="243" t="inlineStr">
        <is>
          <t>overhead_and_margin</t>
        </is>
      </c>
      <c r="B25" s="243" t="inlineStr">
        <is>
          <t>ok</t>
        </is>
      </c>
      <c r="C25" s="243" t="inlineStr">
        <is>
          <t>{'overhead_formula': 'Overhead = DirectCost(886.30) × 12.00% = 106.36', 'selling_formula': 'SellingPrice = TotalCost(992.66) × (1 + 15.00%) = 1141.55'}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2026-04-22T11:03:57Z</dcterms:modified>
  <cp:lastModifiedBy>lenovo</cp:lastModifiedBy>
</cp:coreProperties>
</file>