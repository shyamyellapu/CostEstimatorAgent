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COSTING SHEET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 wrapText="1"/>
    </xf>
    <xf numFmtId="0" fontId="9" fillId="4" borderId="1" pivotButton="0" quotePrefix="0" xfId="0"/>
    <xf numFmtId="0" fontId="9" fillId="5" borderId="1" pivotButton="0" quotePrefix="0" xfId="0"/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16 April 2026 15:37</t>
        </is>
      </c>
    </row>
    <row r="4" ht="20" customHeight="1">
      <c r="A4" s="3" t="inlineStr">
        <is>
          <t>Job Number</t>
        </is>
      </c>
      <c r="B4" s="4" t="inlineStr">
        <is>
          <t>JOB-20260416-8ADB78</t>
        </is>
      </c>
    </row>
    <row r="5" ht="20" customHeight="1">
      <c r="A5" s="3" t="inlineStr">
        <is>
          <t>Client</t>
        </is>
      </c>
      <c r="B5" s="4" t="inlineStr">
        <is>
          <t>test</t>
        </is>
      </c>
    </row>
    <row r="6" ht="20" customHeight="1">
      <c r="A6" s="3" t="inlineStr">
        <is>
          <t>Project</t>
        </is>
      </c>
      <c r="B6" s="4" t="inlineStr">
        <is>
          <t>Project Name</t>
        </is>
      </c>
    </row>
    <row r="7" ht="20" customHeight="1">
      <c r="A7" s="3" t="inlineStr">
        <is>
          <t>Reference</t>
        </is>
      </c>
      <c r="B7" s="4" t="inlineStr">
        <is>
          <t>Reference No.</t>
        </is>
      </c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16-Apr-2026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0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0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0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175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0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175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26.25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201.25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24.15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225.4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0" t="inlineStr">
        <is>
          <t>DETAILED JOB COST ESTIMATION — LINE ITEMS</t>
        </is>
      </c>
    </row>
    <row r="2" ht="20" customHeight="1">
      <c r="A2" s="11" t="inlineStr">
        <is>
          <t>Job: JOB-20260416-8ADB78</t>
        </is>
      </c>
      <c r="E2" s="11" t="inlineStr">
        <is>
          <t>Client: test</t>
        </is>
      </c>
      <c r="I2" s="11" t="inlineStr">
        <is>
          <t>Project: Project Name</t>
        </is>
      </c>
    </row>
    <row r="4" ht="40" customHeight="1">
      <c r="A4" s="12" t="inlineStr">
        <is>
          <t>S.No</t>
        </is>
      </c>
      <c r="B4" s="12" t="inlineStr">
        <is>
          <t>Description</t>
        </is>
      </c>
      <c r="C4" s="12" t="inlineStr">
        <is>
          <t>Section
Type</t>
        </is>
      </c>
      <c r="D4" s="12" t="inlineStr">
        <is>
          <t>Qty</t>
        </is>
      </c>
      <c r="E4" s="12" t="inlineStr">
        <is>
          <t>Weight
(kg)</t>
        </is>
      </c>
      <c r="F4" s="12" t="inlineStr">
        <is>
          <t>Mat. Cost</t>
        </is>
      </c>
      <c r="G4" s="12" t="inlineStr">
        <is>
          <t>Fab. Cost</t>
        </is>
      </c>
      <c r="H4" s="12" t="inlineStr">
        <is>
          <t>Manhours</t>
        </is>
      </c>
      <c r="I4" s="12" t="inlineStr">
        <is>
          <t>Weld
Length (m)</t>
        </is>
      </c>
      <c r="J4" s="12" t="inlineStr">
        <is>
          <t>Welding
MH</t>
        </is>
      </c>
      <c r="K4" s="12" t="inlineStr">
        <is>
          <t>Weld
Cost</t>
        </is>
      </c>
      <c r="L4" s="12" t="inlineStr">
        <is>
          <t>Consumables</t>
        </is>
      </c>
      <c r="M4" s="12" t="inlineStr">
        <is>
          <t>Cutting
Cost</t>
        </is>
      </c>
      <c r="N4" s="12" t="inlineStr">
        <is>
          <t>Surface
Area (m²)</t>
        </is>
      </c>
      <c r="O4" s="12" t="inlineStr">
        <is>
          <t>Surface
Treatment</t>
        </is>
      </c>
    </row>
    <row r="5" ht="18" customHeight="1">
      <c r="A5" s="13" t="n">
        <v>1</v>
      </c>
      <c r="B5" s="14" t="inlineStr">
        <is>
          <t>Pipe Supports</t>
        </is>
      </c>
      <c r="C5" s="13" t="inlineStr">
        <is>
          <t>plate</t>
        </is>
      </c>
      <c r="D5" s="15" t="n">
        <v>1</v>
      </c>
      <c r="E5" s="15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25</v>
      </c>
      <c r="N5" s="16" t="n">
        <v>0</v>
      </c>
      <c r="O5" s="16" t="n">
        <v>0</v>
      </c>
    </row>
    <row r="6" ht="18" customHeight="1">
      <c r="A6" s="17" t="n">
        <v>2</v>
      </c>
      <c r="B6" s="18" t="inlineStr">
        <is>
          <t>Pipe Support</t>
        </is>
      </c>
      <c r="C6" s="17" t="inlineStr">
        <is>
          <t>plate</t>
        </is>
      </c>
      <c r="D6" s="19" t="n">
        <v>1</v>
      </c>
      <c r="E6" s="19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25</v>
      </c>
      <c r="N6" s="20" t="n">
        <v>0</v>
      </c>
      <c r="O6" s="20" t="n">
        <v>0</v>
      </c>
    </row>
    <row r="7" ht="18" customHeight="1">
      <c r="A7" s="13" t="n">
        <v>3</v>
      </c>
      <c r="B7" s="14" t="inlineStr">
        <is>
          <t>Pipe Supports</t>
        </is>
      </c>
      <c r="C7" s="13" t="inlineStr">
        <is>
          <t>plate</t>
        </is>
      </c>
      <c r="D7" s="15" t="n">
        <v>1</v>
      </c>
      <c r="E7" s="15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25</v>
      </c>
      <c r="N7" s="16" t="n">
        <v>0</v>
      </c>
      <c r="O7" s="16" t="n">
        <v>0</v>
      </c>
    </row>
    <row r="8" ht="18" customHeight="1">
      <c r="A8" s="17" t="n">
        <v>4</v>
      </c>
      <c r="B8" s="18" t="inlineStr">
        <is>
          <t>Pipe Supports</t>
        </is>
      </c>
      <c r="C8" s="17" t="inlineStr">
        <is>
          <t>plate</t>
        </is>
      </c>
      <c r="D8" s="19" t="n">
        <v>1</v>
      </c>
      <c r="E8" s="19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25</v>
      </c>
      <c r="N8" s="20" t="n">
        <v>0</v>
      </c>
      <c r="O8" s="20" t="n">
        <v>0</v>
      </c>
    </row>
    <row r="9" ht="18" customHeight="1">
      <c r="A9" s="13" t="n">
        <v>5</v>
      </c>
      <c r="B9" s="14" t="inlineStr">
        <is>
          <t>Pipe Support</t>
        </is>
      </c>
      <c r="C9" s="13" t="inlineStr">
        <is>
          <t>plate</t>
        </is>
      </c>
      <c r="D9" s="15" t="n">
        <v>1</v>
      </c>
      <c r="E9" s="15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25</v>
      </c>
      <c r="N9" s="16" t="n">
        <v>0</v>
      </c>
      <c r="O9" s="16" t="n">
        <v>0</v>
      </c>
    </row>
    <row r="10" ht="18" customHeight="1">
      <c r="A10" s="17" t="n">
        <v>6</v>
      </c>
      <c r="B10" s="18" t="inlineStr">
        <is>
          <t>Pipe Support</t>
        </is>
      </c>
      <c r="C10" s="17" t="inlineStr">
        <is>
          <t>plate</t>
        </is>
      </c>
      <c r="D10" s="19" t="n">
        <v>1</v>
      </c>
      <c r="E10" s="19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25</v>
      </c>
      <c r="N10" s="20" t="n">
        <v>0</v>
      </c>
      <c r="O10" s="20" t="n">
        <v>0</v>
      </c>
    </row>
    <row r="11" ht="18" customHeight="1">
      <c r="A11" s="13" t="n">
        <v>7</v>
      </c>
      <c r="B11" s="14" t="inlineStr">
        <is>
          <t>Pipe Supports</t>
        </is>
      </c>
      <c r="C11" s="13" t="inlineStr">
        <is>
          <t>plate</t>
        </is>
      </c>
      <c r="D11" s="15" t="n">
        <v>1</v>
      </c>
      <c r="E11" s="15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25</v>
      </c>
      <c r="N11" s="16" t="n">
        <v>0</v>
      </c>
      <c r="O11" s="16" t="n">
        <v>0</v>
      </c>
    </row>
    <row r="13" ht="22" customHeight="1">
      <c r="A13" s="21" t="inlineStr">
        <is>
          <t>TOTALS</t>
        </is>
      </c>
      <c r="E13" s="22">
        <f>SUM(E5:E11)</f>
        <v/>
      </c>
      <c r="F13" s="22">
        <f>SUM(F5:F11)</f>
        <v/>
      </c>
      <c r="G13" s="22">
        <f>SUM(G5:G11)</f>
        <v/>
      </c>
      <c r="H13" s="22">
        <f>SUM(H5:H11)</f>
        <v/>
      </c>
      <c r="I13" s="22">
        <f>SUM(I5:I11)</f>
        <v/>
      </c>
      <c r="J13" s="22">
        <f>SUM(J5:J11)</f>
        <v/>
      </c>
      <c r="K13" s="22">
        <f>SUM(K5:K11)</f>
        <v/>
      </c>
      <c r="L13" s="22">
        <f>SUM(L5:L11)</f>
        <v/>
      </c>
      <c r="M13" s="22">
        <f>SUM(M5:M11)</f>
        <v/>
      </c>
      <c r="N13" s="22">
        <f>SUM(N5:N11)</f>
        <v/>
      </c>
      <c r="O13" s="22">
        <f>SUM(O5:O11)</f>
        <v/>
      </c>
    </row>
    <row r="15" ht="22" customHeight="1">
      <c r="A15" s="23" t="inlineStr">
        <is>
          <t>COST SUMMARY</t>
        </is>
      </c>
    </row>
    <row r="16" ht="20" customHeight="1">
      <c r="E16" s="4" t="inlineStr">
        <is>
          <t>Total Material Cost</t>
        </is>
      </c>
      <c r="F16" s="6">
        <f>F13</f>
        <v/>
      </c>
      <c r="H16" s="24" t="inlineStr">
        <is>
          <t>AED</t>
        </is>
      </c>
    </row>
    <row r="17" ht="20" customHeight="1">
      <c r="E17" s="4" t="inlineStr">
        <is>
          <t>Total Fabrication Cost</t>
        </is>
      </c>
      <c r="F17" s="6">
        <f>G13</f>
        <v/>
      </c>
      <c r="H17" s="24" t="inlineStr">
        <is>
          <t>AED</t>
        </is>
      </c>
    </row>
    <row r="18" ht="20" customHeight="1">
      <c r="E18" s="4" t="inlineStr">
        <is>
          <t>Total Welding Cost</t>
        </is>
      </c>
      <c r="F18" s="6">
        <f>K13</f>
        <v/>
      </c>
      <c r="H18" s="24" t="inlineStr">
        <is>
          <t>AED</t>
        </is>
      </c>
    </row>
    <row r="19" ht="20" customHeight="1">
      <c r="E19" s="4" t="inlineStr">
        <is>
          <t>Total Consumables</t>
        </is>
      </c>
      <c r="F19" s="6">
        <f>L13</f>
        <v/>
      </c>
      <c r="H19" s="24" t="inlineStr">
        <is>
          <t>AED</t>
        </is>
      </c>
    </row>
    <row r="20" ht="20" customHeight="1">
      <c r="E20" s="4" t="inlineStr">
        <is>
          <t>Total Cutting Cost</t>
        </is>
      </c>
      <c r="F20" s="6">
        <f>M13</f>
        <v/>
      </c>
      <c r="H20" s="24" t="inlineStr">
        <is>
          <t>AED</t>
        </is>
      </c>
    </row>
    <row r="21" ht="20" customHeight="1">
      <c r="E21" s="4" t="inlineStr">
        <is>
          <t>Total Surface Treatment</t>
        </is>
      </c>
      <c r="F21" s="6">
        <f>O13</f>
        <v/>
      </c>
      <c r="H21" s="24" t="inlineStr">
        <is>
          <t>AED</t>
        </is>
      </c>
    </row>
    <row r="22" ht="20" customHeight="1">
      <c r="E22" s="3" t="inlineStr">
        <is>
          <t>TOTAL DIRECT COST</t>
        </is>
      </c>
      <c r="F22" s="25">
        <f>F13+G13+K13+L13+M13+O13</f>
        <v/>
      </c>
      <c r="H22" s="24" t="inlineStr">
        <is>
          <t>AED</t>
        </is>
      </c>
    </row>
    <row r="23" ht="20" customHeight="1">
      <c r="E23" s="4" t="inlineStr">
        <is>
          <t>Overhead (15.0%)</t>
        </is>
      </c>
      <c r="F23" s="6">
        <f>G21*0.15</f>
        <v/>
      </c>
      <c r="H23" s="24" t="inlineStr">
        <is>
          <t>AED</t>
        </is>
      </c>
    </row>
    <row r="24" ht="20" customHeight="1">
      <c r="E24" s="4" t="inlineStr">
        <is>
          <t>Total Cost incl. Overhead</t>
        </is>
      </c>
      <c r="F24" s="6">
        <f>G21+G22</f>
        <v/>
      </c>
      <c r="H24" s="24" t="inlineStr">
        <is>
          <t>AED</t>
        </is>
      </c>
    </row>
    <row r="25" ht="20" customHeight="1">
      <c r="E25" s="4" t="inlineStr">
        <is>
          <t>Profit Margin (12.0%)</t>
        </is>
      </c>
      <c r="F25" s="6">
        <f>G23*0.12</f>
        <v/>
      </c>
      <c r="H25" s="24" t="inlineStr">
        <is>
          <t>AED</t>
        </is>
      </c>
    </row>
    <row r="26" ht="20" customHeight="1">
      <c r="E26" s="8" t="inlineStr">
        <is>
          <t>SELLING PRICE</t>
        </is>
      </c>
      <c r="F26" s="9">
        <f>G23+G24</f>
        <v/>
      </c>
      <c r="H26" s="24" t="inlineStr">
        <is>
          <t>AED</t>
        </is>
      </c>
    </row>
  </sheetData>
  <mergeCells count="17">
    <mergeCell ref="F21:G21"/>
    <mergeCell ref="F24:G24"/>
    <mergeCell ref="F16:G16"/>
    <mergeCell ref="F19:G19"/>
    <mergeCell ref="F20:G20"/>
    <mergeCell ref="F18:G18"/>
    <mergeCell ref="F23:G23"/>
    <mergeCell ref="A1:O1"/>
    <mergeCell ref="A15:D15"/>
    <mergeCell ref="F17:G17"/>
    <mergeCell ref="F22:G22"/>
    <mergeCell ref="F25:G25"/>
    <mergeCell ref="A2:D2"/>
    <mergeCell ref="F26:G26"/>
    <mergeCell ref="I2:O2"/>
    <mergeCell ref="E2:H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26" t="inlineStr">
        <is>
          <t>RATE CONFIGURATION (Snapshot at time of calculation)</t>
        </is>
      </c>
    </row>
    <row r="3" ht="22" customHeight="1">
      <c r="A3" s="21" t="inlineStr">
        <is>
          <t>Parameter</t>
        </is>
      </c>
      <c r="B3" s="21" t="inlineStr">
        <is>
          <t>Value</t>
        </is>
      </c>
      <c r="C3" s="21" t="inlineStr">
        <is>
          <t>Unit</t>
        </is>
      </c>
      <c r="D3" s="21" t="inlineStr">
        <is>
          <t>Description</t>
        </is>
      </c>
    </row>
    <row r="4" ht="18" customHeight="1">
      <c r="A4" s="27" t="inlineStr">
        <is>
          <t>Material Rate</t>
        </is>
      </c>
      <c r="B4" s="15" t="n">
        <v>3.5</v>
      </c>
      <c r="C4" s="27" t="inlineStr">
        <is>
          <t>AED/kg</t>
        </is>
      </c>
      <c r="D4" s="27" t="inlineStr">
        <is>
          <t>Steel material rate per kg</t>
        </is>
      </c>
    </row>
    <row r="5" ht="18" customHeight="1">
      <c r="A5" s="28" t="inlineStr">
        <is>
          <t>Fabrication Rate (weight)</t>
        </is>
      </c>
      <c r="B5" s="19" t="n">
        <v>6</v>
      </c>
      <c r="C5" s="28" t="inlineStr">
        <is>
          <t>AED/kg</t>
        </is>
      </c>
      <c r="D5" s="28" t="inlineStr">
        <is>
          <t>Weight-based fabrication rate</t>
        </is>
      </c>
    </row>
    <row r="6" ht="18" customHeight="1">
      <c r="A6" s="27" t="inlineStr">
        <is>
          <t>Fabrication Hourly Rate</t>
        </is>
      </c>
      <c r="B6" s="15" t="n">
        <v>45</v>
      </c>
      <c r="C6" s="27" t="inlineStr">
        <is>
          <t>AED/hr</t>
        </is>
      </c>
      <c r="D6" s="27" t="inlineStr">
        <is>
          <t>Manhour-based fabrication rate</t>
        </is>
      </c>
    </row>
    <row r="7" ht="18" customHeight="1">
      <c r="A7" s="28" t="inlineStr">
        <is>
          <t>Manhour Factor</t>
        </is>
      </c>
      <c r="B7" s="19" t="n">
        <v>0.15</v>
      </c>
      <c r="C7" s="28" t="inlineStr">
        <is>
          <t>hr/kg</t>
        </is>
      </c>
      <c r="D7" s="28" t="inlineStr">
        <is>
          <t>Fabrication manhours per kg of steel</t>
        </is>
      </c>
    </row>
    <row r="8" ht="18" customHeight="1">
      <c r="A8" s="27" t="inlineStr">
        <is>
          <t>Welding Time</t>
        </is>
      </c>
      <c r="B8" s="15" t="n">
        <v>0.8</v>
      </c>
      <c r="C8" s="27" t="inlineStr">
        <is>
          <t>hr/m</t>
        </is>
      </c>
      <c r="D8" s="27" t="inlineStr">
        <is>
          <t>Welding manhours per meter of weld</t>
        </is>
      </c>
    </row>
    <row r="9" ht="18" customHeight="1">
      <c r="A9" s="28" t="inlineStr">
        <is>
          <t>Welding Hourly Rate</t>
        </is>
      </c>
      <c r="B9" s="19" t="n">
        <v>45</v>
      </c>
      <c r="C9" s="28" t="inlineStr">
        <is>
          <t>AED/hr</t>
        </is>
      </c>
      <c r="D9" s="28" t="inlineStr">
        <is>
          <t>Welding labor rate</t>
        </is>
      </c>
    </row>
    <row r="10" ht="18" customHeight="1">
      <c r="A10" s="27" t="inlineStr">
        <is>
          <t>Consumable Factor</t>
        </is>
      </c>
      <c r="B10" s="15" t="n">
        <v>0.12</v>
      </c>
      <c r="C10" s="27" t="inlineStr">
        <is>
          <t>kg/m</t>
        </is>
      </c>
      <c r="D10" s="27" t="inlineStr">
        <is>
          <t>Welding consumables per meter of weld</t>
        </is>
      </c>
    </row>
    <row r="11" ht="18" customHeight="1">
      <c r="A11" s="28" t="inlineStr">
        <is>
          <t>Consumable Unit Rate</t>
        </is>
      </c>
      <c r="B11" s="19" t="n">
        <v>15</v>
      </c>
      <c r="C11" s="28" t="inlineStr">
        <is>
          <t>AED/kg</t>
        </is>
      </c>
      <c r="D11" s="28" t="inlineStr">
        <is>
          <t>Rate for welding consumables</t>
        </is>
      </c>
    </row>
    <row r="12" ht="18" customHeight="1">
      <c r="A12" s="27" t="inlineStr">
        <is>
          <t>Cutting Rate</t>
        </is>
      </c>
      <c r="B12" s="15" t="n">
        <v>25</v>
      </c>
      <c r="C12" s="27" t="inlineStr">
        <is>
          <t>AED/cut</t>
        </is>
      </c>
      <c r="D12" s="27" t="inlineStr">
        <is>
          <t>Rate per cut/saw cut</t>
        </is>
      </c>
    </row>
    <row r="13" ht="18" customHeight="1">
      <c r="A13" s="28" t="inlineStr">
        <is>
          <t>Surface Treatment Rate</t>
        </is>
      </c>
      <c r="B13" s="19" t="n">
        <v>55</v>
      </c>
      <c r="C13" s="28" t="inlineStr">
        <is>
          <t>AED/m²</t>
        </is>
      </c>
      <c r="D13" s="28" t="inlineStr">
        <is>
          <t>Blast &amp; prime or painting rate</t>
        </is>
      </c>
    </row>
    <row r="14" ht="18" customHeight="1">
      <c r="A14" s="27" t="inlineStr">
        <is>
          <t>Overhead %</t>
        </is>
      </c>
      <c r="B14" s="15" t="n">
        <v>15</v>
      </c>
      <c r="C14" s="27" t="inlineStr">
        <is>
          <t>%</t>
        </is>
      </c>
      <c r="D14" s="27" t="inlineStr">
        <is>
          <t>Overhead percentage on direct cost</t>
        </is>
      </c>
    </row>
    <row r="15" ht="18" customHeight="1">
      <c r="A15" s="28" t="inlineStr">
        <is>
          <t>Profit Margin %</t>
        </is>
      </c>
      <c r="B15" s="19" t="n">
        <v>12</v>
      </c>
      <c r="C15" s="28" t="inlineStr">
        <is>
          <t>%</t>
        </is>
      </c>
      <c r="D15" s="28" t="inlineStr">
        <is>
          <t>Net profit margin on total cost</t>
        </is>
      </c>
    </row>
    <row r="16" ht="18" customHeight="1">
      <c r="A16" s="27" t="inlineStr">
        <is>
          <t>Steel Density</t>
        </is>
      </c>
      <c r="B16" s="15" t="n">
        <v>7850</v>
      </c>
      <c r="C16" s="27" t="inlineStr">
        <is>
          <t>kg/m³</t>
        </is>
      </c>
      <c r="D16" s="27" t="inlineStr">
        <is>
          <t>Default steel density</t>
        </is>
      </c>
    </row>
    <row r="17" ht="18" customHeight="1">
      <c r="A17" s="28" t="inlineStr">
        <is>
          <t>Weld Length/Joint</t>
        </is>
      </c>
      <c r="B17" s="19" t="n">
        <v>150</v>
      </c>
      <c r="C17" s="28" t="inlineStr">
        <is>
          <t>mm</t>
        </is>
      </c>
      <c r="D17" s="28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26" t="inlineStr">
        <is>
          <t>CALCULATION AUDIT TRAIL</t>
        </is>
      </c>
    </row>
    <row r="2">
      <c r="A2" s="21" t="inlineStr">
        <is>
          <t>Step / Item</t>
        </is>
      </c>
      <c r="B2" s="21" t="inlineStr">
        <is>
          <t>Status</t>
        </is>
      </c>
      <c r="C2" s="21" t="inlineStr">
        <is>
          <t>Details</t>
        </is>
      </c>
    </row>
    <row r="3" ht="16" customHeight="1">
      <c r="A3" s="29" t="inlineStr">
        <is>
          <t>ITEM-1</t>
        </is>
      </c>
      <c r="B3" s="29" t="inlineStr">
        <is>
          <t>calculated</t>
        </is>
      </c>
      <c r="C3" s="29" t="inlineStr">
        <is>
          <t>{'total_direct_cost': 25.0}</t>
        </is>
      </c>
    </row>
    <row r="4" ht="16" customHeight="1">
      <c r="A4" s="29" t="inlineStr">
        <is>
          <t>CS-2620-001</t>
        </is>
      </c>
      <c r="B4" s="29" t="inlineStr">
        <is>
          <t>calculated</t>
        </is>
      </c>
      <c r="C4" s="29" t="inlineStr">
        <is>
          <t>{'total_direct_cost': 25.0}</t>
        </is>
      </c>
    </row>
    <row r="5" ht="16" customHeight="1">
      <c r="A5" s="29" t="inlineStr">
        <is>
          <t>CS-2620-002 &amp; CS-2620-003</t>
        </is>
      </c>
      <c r="B5" s="29" t="inlineStr">
        <is>
          <t>calculated</t>
        </is>
      </c>
      <c r="C5" s="29" t="inlineStr">
        <is>
          <t>{'total_direct_cost': 25.0}</t>
        </is>
      </c>
    </row>
    <row r="6" ht="16" customHeight="1">
      <c r="A6" s="29" t="inlineStr">
        <is>
          <t>CS-2620-004 &amp; CS-2620-005</t>
        </is>
      </c>
      <c r="B6" s="29" t="inlineStr">
        <is>
          <t>calculated</t>
        </is>
      </c>
      <c r="C6" s="29" t="inlineStr">
        <is>
          <t>{'total_direct_cost': 25.0}</t>
        </is>
      </c>
    </row>
    <row r="7" ht="16" customHeight="1">
      <c r="A7" s="29" t="inlineStr">
        <is>
          <t>CS-2620-006</t>
        </is>
      </c>
      <c r="B7" s="29" t="inlineStr">
        <is>
          <t>calculated</t>
        </is>
      </c>
      <c r="C7" s="29" t="inlineStr">
        <is>
          <t>{'total_direct_cost': 25.0}</t>
        </is>
      </c>
    </row>
    <row r="8" ht="16" customHeight="1">
      <c r="A8" s="29" t="inlineStr">
        <is>
          <t>CS-2620-007</t>
        </is>
      </c>
      <c r="B8" s="29" t="inlineStr">
        <is>
          <t>calculated</t>
        </is>
      </c>
      <c r="C8" s="29" t="inlineStr">
        <is>
          <t>{'total_direct_cost': 25.0}</t>
        </is>
      </c>
    </row>
    <row r="9" ht="16" customHeight="1">
      <c r="A9" s="29" t="inlineStr">
        <is>
          <t>CS-2620-009 &amp; CS-2620-010</t>
        </is>
      </c>
      <c r="B9" s="29" t="inlineStr">
        <is>
          <t>calculated</t>
        </is>
      </c>
      <c r="C9" s="29" t="inlineStr">
        <is>
          <t>{'total_direct_cost': 25.0}</t>
        </is>
      </c>
    </row>
    <row r="10" ht="16" customHeight="1">
      <c r="A10" s="29" t="inlineStr">
        <is>
          <t>overhead_and_margin</t>
        </is>
      </c>
      <c r="B10" s="29" t="inlineStr">
        <is>
          <t>overhead_and_margin</t>
        </is>
      </c>
      <c r="C10" s="29" t="inlineStr">
        <is>
          <t>{'overhead_formula': 'Overhead = DirectCost(175.00) × 15.0% = 26.25', 'selling_formula': 'SellingPrice = TotalCost(201.25) × (1 + 12.0%) = 225.40'}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2026-04-16T10:07:58Z</dcterms:created>
  <dcterms:modified xmlns:dcterms="http://purl.org/dc/terms/" xmlns:xsi="http://www.w3.org/2001/XMLSchema-instance" xsi:type="dcterms:W3CDTF">2026-04-16T10:07:58Z</dcterms:modified>
</cp:coreProperties>
</file>