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UMMARY" sheetId="1" state="visible" r:id="rId1"/>
    <sheet xmlns:r="http://schemas.openxmlformats.org/officeDocument/2006/relationships" name="JOB COSTING" sheetId="2" state="visible" r:id="rId2"/>
    <sheet xmlns:r="http://schemas.openxmlformats.org/officeDocument/2006/relationships" name="RATES &amp; CONFIG" sheetId="3" state="visible" r:id="rId3"/>
    <sheet xmlns:r="http://schemas.openxmlformats.org/officeDocument/2006/relationships" name="AUDIT 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00000"/>
      <sz val="14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164" fontId="0" fillId="0" borderId="1" pivotButton="0" quotePrefix="0" xfId="0"/>
    <xf numFmtId="4" fontId="6" fillId="7" borderId="0" pivotButton="0" quotePrefix="0" xfId="0"/>
    <xf numFmtId="4" fontId="3" fillId="0" borderId="0" pivotButton="0" quotePrefix="0" xfId="0"/>
    <xf numFmtId="4" fontId="6" fillId="8" borderId="0" pivotButton="0" quotePrefix="0" xfId="0"/>
    <xf numFmtId="4" fontId="6" fillId="6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1" pivotButton="0" quotePrefix="0" xfId="0"/>
    <xf numFmtId="164" fontId="11" fillId="4" borderId="1" applyAlignment="1" pivotButton="0" quotePrefix="0" xfId="0">
      <alignment horizontal="right" vertical="center"/>
    </xf>
    <xf numFmtId="0" fontId="11" fillId="5" borderId="1" pivotButton="0" quotePrefix="0" xfId="0"/>
    <xf numFmtId="164" fontId="11" fillId="5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0" customWidth="1" min="4" max="4"/>
  </cols>
  <sheetData>
    <row r="1" ht="35" customHeight="1">
      <c r="A1" s="1" t="inlineStr">
        <is>
          <t>JOB COST ESTIMATION SHEET</t>
        </is>
      </c>
    </row>
    <row r="2">
      <c r="A2" s="2" t="inlineStr">
        <is>
          <t>Generated: 16 April 2026 17:11</t>
        </is>
      </c>
    </row>
    <row r="4" ht="20" customHeight="1">
      <c r="A4" s="3" t="inlineStr">
        <is>
          <t>Job Number</t>
        </is>
      </c>
      <c r="B4" s="4" t="inlineStr">
        <is>
          <t>JOB-20260416-E1B0F0</t>
        </is>
      </c>
    </row>
    <row r="5" ht="20" customHeight="1">
      <c r="A5" s="3" t="inlineStr">
        <is>
          <t>Client</t>
        </is>
      </c>
      <c r="B5" s="4" t="inlineStr"/>
    </row>
    <row r="6" ht="20" customHeight="1">
      <c r="A6" s="3" t="inlineStr">
        <is>
          <t>Project</t>
        </is>
      </c>
      <c r="B6" s="4" t="inlineStr"/>
    </row>
    <row r="7" ht="20" customHeight="1">
      <c r="A7" s="3" t="inlineStr">
        <is>
          <t>Reference</t>
        </is>
      </c>
      <c r="B7" s="4" t="inlineStr"/>
    </row>
    <row r="8" ht="20" customHeight="1">
      <c r="A8" s="3" t="inlineStr">
        <is>
          <t>Currency</t>
        </is>
      </c>
      <c r="B8" s="4" t="inlineStr">
        <is>
          <t>AED</t>
        </is>
      </c>
    </row>
    <row r="9" ht="20" customHeight="1">
      <c r="A9" s="3" t="inlineStr">
        <is>
          <t>Prepared By</t>
        </is>
      </c>
      <c r="B9" s="4" t="inlineStr">
        <is>
          <t>Cost Estimator AI Agent</t>
        </is>
      </c>
    </row>
    <row r="10" ht="20" customHeight="1">
      <c r="A10" s="3" t="inlineStr">
        <is>
          <t>Date</t>
        </is>
      </c>
      <c r="B10" s="4" t="inlineStr">
        <is>
          <t>16-Apr-2026</t>
        </is>
      </c>
    </row>
    <row r="12" ht="25" customHeight="1">
      <c r="A12" s="5" t="inlineStr">
        <is>
          <t>COST SUMMARY</t>
        </is>
      </c>
    </row>
    <row r="13" ht="20" customHeight="1">
      <c r="A13" s="4" t="inlineStr">
        <is>
          <t>Total Weight (kg)</t>
        </is>
      </c>
      <c r="B13" s="6" t="n">
        <v>0</v>
      </c>
      <c r="D13" s="7" t="inlineStr">
        <is>
          <t>AED</t>
        </is>
      </c>
    </row>
    <row r="14" ht="20" customHeight="1">
      <c r="A14" s="4" t="inlineStr">
        <is>
          <t>Total Material Cost</t>
        </is>
      </c>
      <c r="B14" s="6" t="n">
        <v>0</v>
      </c>
      <c r="D14" s="7" t="inlineStr">
        <is>
          <t>AED</t>
        </is>
      </c>
    </row>
    <row r="15" ht="20" customHeight="1">
      <c r="A15" s="4" t="inlineStr">
        <is>
          <t>Total Fabrication Cost</t>
        </is>
      </c>
      <c r="B15" s="6" t="n">
        <v>0</v>
      </c>
      <c r="D15" s="7" t="inlineStr">
        <is>
          <t>AED</t>
        </is>
      </c>
    </row>
    <row r="16" ht="20" customHeight="1">
      <c r="A16" s="4" t="inlineStr">
        <is>
          <t>Total Welding Cost</t>
        </is>
      </c>
      <c r="B16" s="6" t="n">
        <v>0</v>
      </c>
      <c r="D16" s="7" t="inlineStr">
        <is>
          <t>AED</t>
        </is>
      </c>
    </row>
    <row r="17" ht="20" customHeight="1">
      <c r="A17" s="4" t="inlineStr">
        <is>
          <t>Total Consumables</t>
        </is>
      </c>
      <c r="B17" s="6" t="n">
        <v>0</v>
      </c>
      <c r="D17" s="7" t="inlineStr">
        <is>
          <t>AED</t>
        </is>
      </c>
    </row>
    <row r="18" ht="20" customHeight="1">
      <c r="A18" s="4" t="inlineStr">
        <is>
          <t>Total Cutting Cost</t>
        </is>
      </c>
      <c r="B18" s="6" t="n">
        <v>75</v>
      </c>
      <c r="D18" s="7" t="inlineStr">
        <is>
          <t>AED</t>
        </is>
      </c>
    </row>
    <row r="19" ht="20" customHeight="1">
      <c r="A19" s="4" t="inlineStr">
        <is>
          <t>Total Surface Treatment</t>
        </is>
      </c>
      <c r="B19" s="6" t="n">
        <v>132</v>
      </c>
      <c r="D19" s="7" t="inlineStr">
        <is>
          <t>AED</t>
        </is>
      </c>
    </row>
    <row r="20" ht="20" customHeight="1">
      <c r="A20" s="4" t="inlineStr">
        <is>
          <t>Total Direct Cost</t>
        </is>
      </c>
      <c r="B20" s="6" t="n">
        <v>207</v>
      </c>
      <c r="D20" s="7" t="inlineStr">
        <is>
          <t>AED</t>
        </is>
      </c>
    </row>
    <row r="21" ht="20" customHeight="1">
      <c r="A21" s="4" t="inlineStr">
        <is>
          <t>Overhead (15.0%)</t>
        </is>
      </c>
      <c r="B21" s="6" t="n">
        <v>31.05</v>
      </c>
      <c r="D21" s="7" t="inlineStr">
        <is>
          <t>AED</t>
        </is>
      </c>
    </row>
    <row r="22" ht="20" customHeight="1">
      <c r="A22" s="4" t="inlineStr">
        <is>
          <t>Total Cost incl. Overhead</t>
        </is>
      </c>
      <c r="B22" s="6" t="n">
        <v>238.05</v>
      </c>
      <c r="D22" s="7" t="inlineStr">
        <is>
          <t>AED</t>
        </is>
      </c>
    </row>
    <row r="23" ht="20" customHeight="1">
      <c r="A23" s="4" t="inlineStr">
        <is>
          <t>Profit Margin (12.0%)</t>
        </is>
      </c>
      <c r="B23" s="6" t="n">
        <v>28.57</v>
      </c>
      <c r="D23" s="7" t="inlineStr">
        <is>
          <t>AED</t>
        </is>
      </c>
    </row>
    <row r="24" ht="20" customHeight="1">
      <c r="A24" s="8" t="inlineStr">
        <is>
          <t>SELLING PRICE</t>
        </is>
      </c>
      <c r="B24" s="9" t="n">
        <v>266.62</v>
      </c>
      <c r="D24" s="7" t="inlineStr">
        <is>
          <t>AED</t>
        </is>
      </c>
    </row>
  </sheetData>
  <mergeCells count="22">
    <mergeCell ref="B16:C16"/>
    <mergeCell ref="B8:D8"/>
    <mergeCell ref="B22:C22"/>
    <mergeCell ref="B18:C18"/>
    <mergeCell ref="B10:D10"/>
    <mergeCell ref="B21:C21"/>
    <mergeCell ref="B23:C23"/>
    <mergeCell ref="B9:D9"/>
    <mergeCell ref="B14:C14"/>
    <mergeCell ref="B17:C17"/>
    <mergeCell ref="B6:D6"/>
    <mergeCell ref="B13:C13"/>
    <mergeCell ref="A1:D1"/>
    <mergeCell ref="B5:D5"/>
    <mergeCell ref="B19:C19"/>
    <mergeCell ref="B4:D4"/>
    <mergeCell ref="B7:D7"/>
    <mergeCell ref="B24:C24"/>
    <mergeCell ref="B15:C15"/>
    <mergeCell ref="A12:D12"/>
    <mergeCell ref="B20:C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8" customWidth="1" min="14" max="14"/>
    <col width="10" customWidth="1" min="15" max="15"/>
    <col width="12" customWidth="1" min="16" max="16"/>
    <col width="12" customWidth="1" min="17" max="17"/>
    <col width="8" customWidth="1" min="18" max="18"/>
    <col width="8" customWidth="1" min="19" max="19"/>
    <col width="8" customWidth="1" min="20" max="20"/>
  </cols>
  <sheetData>
    <row r="1">
      <c r="A1" s="10" t="inlineStr">
        <is>
          <t>C&amp;J GULF EQUIPMENT MANUFACTURING L.L.C</t>
        </is>
      </c>
    </row>
    <row r="2">
      <c r="E2" s="11" t="inlineStr">
        <is>
          <t>Job Costing Sheet</t>
        </is>
      </c>
    </row>
    <row r="3">
      <c r="A3" s="12" t="inlineStr">
        <is>
          <t>REF NO: JOB-20260416-E1B0F0</t>
        </is>
      </c>
    </row>
    <row r="4">
      <c r="A4" t="inlineStr">
        <is>
          <t>CUSTOMER NAME</t>
        </is>
      </c>
      <c r="B4" t="inlineStr"/>
      <c r="E4" t="inlineStr">
        <is>
          <t>DATE</t>
        </is>
      </c>
      <c r="F4" t="inlineStr">
        <is>
          <t>2026-04-16</t>
        </is>
      </c>
      <c r="I4" t="inlineStr">
        <is>
          <t>ENQUIRY No</t>
        </is>
      </c>
      <c r="J4" t="inlineStr"/>
    </row>
    <row r="5">
      <c r="A5" t="inlineStr">
        <is>
          <t>CUSTOMER CODE</t>
        </is>
      </c>
      <c r="B5" t="inlineStr"/>
      <c r="E5" t="inlineStr">
        <is>
          <t>ATTENTION OF</t>
        </is>
      </c>
      <c r="F5" t="inlineStr"/>
      <c r="I5" t="inlineStr">
        <is>
          <t>JOB NO.</t>
        </is>
      </c>
      <c r="J5" t="inlineStr">
        <is>
          <t>JOB-20260416-E1B0F0</t>
        </is>
      </c>
    </row>
    <row r="6">
      <c r="A6" t="inlineStr">
        <is>
          <t>EMAIL</t>
        </is>
      </c>
      <c r="B6" t="inlineStr"/>
      <c r="E6" t="inlineStr">
        <is>
          <t>CONTACT NO:</t>
        </is>
      </c>
      <c r="F6" t="inlineStr"/>
      <c r="I6" t="inlineStr">
        <is>
          <t>JORL DATE:</t>
        </is>
      </c>
      <c r="J6" t="inlineStr"/>
    </row>
    <row r="7">
      <c r="A7" t="inlineStr">
        <is>
          <t>PROJECT PACKAGE DETAILS</t>
        </is>
      </c>
      <c r="B7" t="inlineStr"/>
      <c r="E7" t="inlineStr">
        <is>
          <t>MODULE WORK</t>
        </is>
      </c>
      <c r="F7" t="inlineStr"/>
      <c r="G7" t="inlineStr">
        <is>
          <t>SKID MOUNTED PACKAGE</t>
        </is>
      </c>
      <c r="H7" t="inlineStr"/>
      <c r="K7" t="inlineStr">
        <is>
          <t>CEMENT LINING</t>
        </is>
      </c>
      <c r="L7" t="inlineStr"/>
    </row>
    <row r="9">
      <c r="A9" t="inlineStr">
        <is>
          <t>CUSTOMER P.O. Ref :</t>
        </is>
      </c>
      <c r="B9" t="inlineStr"/>
    </row>
    <row r="10">
      <c r="A10" t="inlineStr">
        <is>
          <t xml:space="preserve"> SALES EMPOLOYEE CODE</t>
        </is>
      </c>
      <c r="B10" t="inlineStr"/>
    </row>
    <row r="11">
      <c r="A11" t="inlineStr">
        <is>
          <t>NETSUITE INVOICE NO:</t>
        </is>
      </c>
      <c r="B11" t="inlineStr"/>
      <c r="E11" t="inlineStr">
        <is>
          <t>NETSUITE AGEING REPORT:</t>
        </is>
      </c>
      <c r="F11" t="inlineStr"/>
    </row>
    <row r="12">
      <c r="A12" t="inlineStr">
        <is>
          <t>PENDING PAYMENT</t>
        </is>
      </c>
      <c r="B12" t="inlineStr"/>
    </row>
    <row r="13">
      <c r="F13" s="13" t="inlineStr">
        <is>
          <t>COST AT OFFER ACCEPTANCE AS PER ESTIMATION</t>
        </is>
      </c>
      <c r="M13" s="13" t="inlineStr">
        <is>
          <t>ACTUAL MANUFACTURING COST</t>
        </is>
      </c>
    </row>
    <row r="14" ht="25" customHeight="1">
      <c r="A14" s="14" t="inlineStr">
        <is>
          <t>Sr No</t>
        </is>
      </c>
      <c r="B14" s="14" t="inlineStr">
        <is>
          <t>Item Description</t>
        </is>
      </c>
      <c r="C14" s="15" t="n"/>
      <c r="D14" s="15" t="n"/>
      <c r="E14" s="15" t="n"/>
      <c r="F14" s="16" t="n"/>
      <c r="G14" s="14" t="inlineStr">
        <is>
          <t>Qty</t>
        </is>
      </c>
      <c r="H14" s="14" t="inlineStr">
        <is>
          <t>Unit</t>
        </is>
      </c>
      <c r="I14" s="14" t="inlineStr">
        <is>
          <t>Manhours</t>
        </is>
      </c>
      <c r="J14" s="14" t="inlineStr">
        <is>
          <t>Unit cost</t>
        </is>
      </c>
      <c r="K14" s="14" t="inlineStr">
        <is>
          <t>Total cost</t>
        </is>
      </c>
      <c r="L14" s="14" t="inlineStr">
        <is>
          <t>Remarks</t>
        </is>
      </c>
      <c r="M14" s="14" t="inlineStr">
        <is>
          <t>Qty</t>
        </is>
      </c>
      <c r="N14" s="15" t="n"/>
      <c r="O14" s="15" t="n"/>
      <c r="P14" s="15" t="n"/>
      <c r="Q14" s="16" t="n"/>
      <c r="R14" s="14" t="inlineStr"/>
      <c r="S14" s="14" t="inlineStr"/>
      <c r="T14" s="14" t="inlineStr"/>
    </row>
    <row r="15">
      <c r="A15" s="17" t="inlineStr">
        <is>
          <t>1</t>
        </is>
      </c>
      <c r="B15" s="17" t="inlineStr">
        <is>
          <t>Design, Drafting &amp; Drawing Charges</t>
        </is>
      </c>
      <c r="C15" s="17" t="n"/>
      <c r="D15" s="17" t="n"/>
      <c r="E15" s="17" t="n"/>
      <c r="F15" s="17" t="n"/>
      <c r="G15" s="17" t="n">
        <v>0</v>
      </c>
      <c r="H15" s="17" t="inlineStr">
        <is>
          <t>lot</t>
        </is>
      </c>
      <c r="I15" s="17" t="n"/>
      <c r="J15" s="17" t="n"/>
      <c r="K15" s="18">
        <f>G15*J15</f>
        <v/>
      </c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</row>
    <row r="16">
      <c r="A16" s="17" t="inlineStr">
        <is>
          <t>1.1</t>
        </is>
      </c>
      <c r="B16" s="17" t="inlineStr">
        <is>
          <t>Gaps in customer design</t>
        </is>
      </c>
      <c r="C16" s="17" t="n"/>
      <c r="D16" s="17" t="n"/>
      <c r="E16" s="17" t="n"/>
      <c r="F16" s="17" t="n"/>
      <c r="G16" s="17" t="n">
        <v>0</v>
      </c>
      <c r="H16" s="17" t="inlineStr">
        <is>
          <t>lot</t>
        </is>
      </c>
      <c r="I16" s="17" t="n"/>
      <c r="J16" s="17" t="n"/>
      <c r="K16" s="18">
        <f>G16*J16</f>
        <v/>
      </c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</row>
    <row r="17">
      <c r="A17" s="17" t="inlineStr">
        <is>
          <t>2</t>
        </is>
      </c>
      <c r="B17" s="17" t="inlineStr">
        <is>
          <t>BOM/BOQ Preparation</t>
        </is>
      </c>
      <c r="C17" s="17" t="n"/>
      <c r="D17" s="17" t="n"/>
      <c r="E17" s="17" t="n"/>
      <c r="F17" s="17" t="n"/>
      <c r="G17" s="17" t="n">
        <v>0</v>
      </c>
      <c r="H17" s="17" t="inlineStr">
        <is>
          <t>lot</t>
        </is>
      </c>
      <c r="I17" s="17" t="n"/>
      <c r="J17" s="17" t="n"/>
      <c r="K17" s="18">
        <f>G17*J17</f>
        <v/>
      </c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</row>
    <row r="18">
      <c r="A18" s="17" t="inlineStr">
        <is>
          <t>2.1</t>
        </is>
      </c>
      <c r="B18" s="17" t="inlineStr">
        <is>
          <t>Changes in BOM due to Design change</t>
        </is>
      </c>
      <c r="C18" s="17" t="n"/>
      <c r="D18" s="17" t="n"/>
      <c r="E18" s="17" t="n"/>
      <c r="F18" s="17" t="n"/>
      <c r="G18" s="17" t="n">
        <v>0</v>
      </c>
      <c r="H18" s="17" t="inlineStr">
        <is>
          <t>lot</t>
        </is>
      </c>
      <c r="I18" s="17" t="n"/>
      <c r="J18" s="17" t="n"/>
      <c r="K18" s="18">
        <f>G18*J18</f>
        <v/>
      </c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</row>
    <row r="19">
      <c r="A19" s="17" t="inlineStr">
        <is>
          <t>3</t>
        </is>
      </c>
      <c r="B19" s="17" t="inlineStr">
        <is>
          <t>Technical recommendations to customer</t>
        </is>
      </c>
      <c r="C19" s="17" t="n"/>
      <c r="D19" s="17" t="n"/>
      <c r="E19" s="17" t="n"/>
      <c r="F19" s="17" t="n"/>
      <c r="G19" s="17" t="n">
        <v>0</v>
      </c>
      <c r="H19" s="17" t="inlineStr">
        <is>
          <t>lot</t>
        </is>
      </c>
      <c r="I19" s="17" t="n"/>
      <c r="J19" s="17" t="n"/>
      <c r="K19" s="18">
        <f>G19*J19</f>
        <v/>
      </c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</row>
    <row r="20">
      <c r="A20" s="17" t="inlineStr">
        <is>
          <t>4</t>
        </is>
      </c>
      <c r="B20" s="17" t="inlineStr">
        <is>
          <t>Gaps in our estimation</t>
        </is>
      </c>
      <c r="C20" s="17" t="n"/>
      <c r="D20" s="17" t="n"/>
      <c r="E20" s="17" t="n"/>
      <c r="F20" s="17" t="n"/>
      <c r="G20" s="17" t="n">
        <v>0</v>
      </c>
      <c r="H20" s="17" t="inlineStr">
        <is>
          <t>lot</t>
        </is>
      </c>
      <c r="I20" s="17" t="n"/>
      <c r="J20" s="17" t="n"/>
      <c r="K20" s="18">
        <f>G20*J20</f>
        <v/>
      </c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</row>
    <row r="21">
      <c r="A21" t="inlineStr">
        <is>
          <t>5</t>
        </is>
      </c>
      <c r="B21" s="19" t="inlineStr">
        <is>
          <t>Material Cost</t>
        </is>
      </c>
    </row>
    <row r="22">
      <c r="A22" s="17" t="inlineStr">
        <is>
          <t>5.1</t>
        </is>
      </c>
      <c r="B22" s="17" t="inlineStr">
        <is>
          <t>UC 152x152x30 vertical column (UC)</t>
        </is>
      </c>
      <c r="C22" s="17" t="n"/>
      <c r="D22" s="17" t="n"/>
      <c r="E22" s="17" t="n"/>
      <c r="F22" s="17" t="n"/>
      <c r="G22" s="17" t="n">
        <v>0</v>
      </c>
      <c r="H22" s="17" t="inlineStr">
        <is>
          <t>Kg</t>
        </is>
      </c>
      <c r="I22" s="17" t="n"/>
      <c r="J22" s="17" t="n">
        <v>3.5</v>
      </c>
      <c r="K22" s="18">
        <f>G22*J22</f>
        <v/>
      </c>
      <c r="L22" s="17" t="n"/>
      <c r="M22" s="17" t="n">
        <v>0</v>
      </c>
      <c r="N22" s="17" t="inlineStr">
        <is>
          <t>Kg</t>
        </is>
      </c>
      <c r="O22" s="17" t="n">
        <v>3.5</v>
      </c>
      <c r="P22" s="18">
        <f>M22*O22</f>
        <v/>
      </c>
      <c r="Q22" s="17" t="n"/>
      <c r="R22" s="17" t="n"/>
      <c r="S22" s="17" t="n"/>
      <c r="T22" s="17" t="n"/>
    </row>
    <row r="23">
      <c r="A23" s="17" t="inlineStr">
        <is>
          <t>5.2</t>
        </is>
      </c>
      <c r="B23" s="17" t="inlineStr">
        <is>
          <t>UC 152x152x30 vertical column (UC)</t>
        </is>
      </c>
      <c r="C23" s="17" t="n"/>
      <c r="D23" s="17" t="n"/>
      <c r="E23" s="17" t="n"/>
      <c r="F23" s="17" t="n"/>
      <c r="G23" s="17" t="n">
        <v>0</v>
      </c>
      <c r="H23" s="17" t="inlineStr">
        <is>
          <t>Kg</t>
        </is>
      </c>
      <c r="I23" s="17" t="n"/>
      <c r="J23" s="17" t="n">
        <v>3.5</v>
      </c>
      <c r="K23" s="18">
        <f>G23*J23</f>
        <v/>
      </c>
      <c r="L23" s="17" t="n"/>
      <c r="M23" s="17" t="n">
        <v>0</v>
      </c>
      <c r="N23" s="17" t="inlineStr">
        <is>
          <t>Kg</t>
        </is>
      </c>
      <c r="O23" s="17" t="n">
        <v>3.5</v>
      </c>
      <c r="P23" s="18">
        <f>M23*O23</f>
        <v/>
      </c>
      <c r="Q23" s="17" t="n"/>
      <c r="R23" s="17" t="n"/>
      <c r="S23" s="17" t="n"/>
      <c r="T23" s="17" t="n"/>
    </row>
    <row r="24">
      <c r="A24" s="17" t="inlineStr">
        <is>
          <t>5.3</t>
        </is>
      </c>
      <c r="B24" s="17" t="inlineStr">
        <is>
          <t>L 100x100x10 horizontal beam (L_angle)</t>
        </is>
      </c>
      <c r="C24" s="17" t="n"/>
      <c r="D24" s="17" t="n"/>
      <c r="E24" s="17" t="n"/>
      <c r="F24" s="17" t="n"/>
      <c r="G24" s="17" t="n">
        <v>0</v>
      </c>
      <c r="H24" s="17" t="inlineStr">
        <is>
          <t>Kg</t>
        </is>
      </c>
      <c r="I24" s="17" t="n"/>
      <c r="J24" s="17" t="n">
        <v>3.5</v>
      </c>
      <c r="K24" s="18">
        <f>G24*J24</f>
        <v/>
      </c>
      <c r="L24" s="17" t="n"/>
      <c r="M24" s="17" t="n">
        <v>0</v>
      </c>
      <c r="N24" s="17" t="inlineStr">
        <is>
          <t>Kg</t>
        </is>
      </c>
      <c r="O24" s="17" t="n">
        <v>3.5</v>
      </c>
      <c r="P24" s="18">
        <f>M24*O24</f>
        <v/>
      </c>
      <c r="Q24" s="17" t="n"/>
      <c r="R24" s="17" t="n"/>
      <c r="S24" s="17" t="n"/>
      <c r="T24" s="17" t="n"/>
    </row>
    <row r="25">
      <c r="A25" s="17" t="inlineStr">
        <is>
          <t>5.4</t>
        </is>
      </c>
      <c r="B25" s="17" t="inlineStr">
        <is>
          <t>M20 bolt (bolt)</t>
        </is>
      </c>
      <c r="C25" s="17" t="n"/>
      <c r="D25" s="17" t="n"/>
      <c r="E25" s="17" t="n"/>
      <c r="F25" s="17" t="n"/>
      <c r="G25" s="17" t="n">
        <v>0</v>
      </c>
      <c r="H25" s="17" t="inlineStr">
        <is>
          <t>Kg</t>
        </is>
      </c>
      <c r="I25" s="17" t="n"/>
      <c r="J25" s="17" t="n">
        <v>3.5</v>
      </c>
      <c r="K25" s="18">
        <f>G25*J25</f>
        <v/>
      </c>
      <c r="L25" s="17" t="n"/>
      <c r="M25" s="17" t="n">
        <v>0</v>
      </c>
      <c r="N25" s="17" t="inlineStr">
        <is>
          <t>Kg</t>
        </is>
      </c>
      <c r="O25" s="17" t="n">
        <v>3.5</v>
      </c>
      <c r="P25" s="18">
        <f>M25*O25</f>
        <v/>
      </c>
      <c r="Q25" s="17" t="n"/>
      <c r="R25" s="17" t="n"/>
      <c r="S25" s="17" t="n"/>
      <c r="T25" s="17" t="n"/>
    </row>
    <row r="26">
      <c r="A26" s="17" t="inlineStr">
        <is>
          <t>6</t>
        </is>
      </c>
      <c r="B26" s="17" t="inlineStr">
        <is>
          <t>Material Inspection Charges</t>
        </is>
      </c>
      <c r="C26" s="17" t="n"/>
      <c r="D26" s="17" t="n"/>
      <c r="E26" s="17" t="n"/>
      <c r="F26" s="17" t="n"/>
      <c r="G26" s="17" t="n">
        <v>0</v>
      </c>
      <c r="H26" s="17" t="inlineStr">
        <is>
          <t>lot</t>
        </is>
      </c>
      <c r="I26" s="17" t="n"/>
      <c r="J26" s="17" t="n"/>
      <c r="K26" s="18">
        <f>G26*J26</f>
        <v/>
      </c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/>
    <row r="28">
      <c r="A28" t="inlineStr">
        <is>
          <t>7</t>
        </is>
      </c>
      <c r="B28" s="19" t="inlineStr">
        <is>
          <t>Labour &amp; Fabrication Cost</t>
        </is>
      </c>
    </row>
    <row r="29">
      <c r="A29" s="17" t="inlineStr">
        <is>
          <t>7.1</t>
        </is>
      </c>
      <c r="B29" s="17" t="inlineStr">
        <is>
          <t>Structural Welding considering 0.0 labor hours</t>
        </is>
      </c>
      <c r="C29" s="17" t="n"/>
      <c r="D29" s="17" t="n"/>
      <c r="E29" s="17" t="n"/>
      <c r="F29" s="17" t="n"/>
      <c r="G29" s="17" t="n">
        <v>0</v>
      </c>
      <c r="H29" s="17" t="inlineStr">
        <is>
          <t>Kg</t>
        </is>
      </c>
      <c r="I29" s="17" t="n">
        <v>0</v>
      </c>
      <c r="J29" s="17" t="n">
        <v>45</v>
      </c>
      <c r="K29" s="18">
        <f>I29*J29</f>
        <v/>
      </c>
      <c r="L29" s="17" t="n"/>
      <c r="M29" s="17" t="n">
        <v>0</v>
      </c>
      <c r="N29" s="17" t="inlineStr">
        <is>
          <t>Kg</t>
        </is>
      </c>
      <c r="O29" s="17" t="n">
        <v>45</v>
      </c>
      <c r="P29" s="18">
        <f>M29*O29</f>
        <v/>
      </c>
      <c r="Q29" s="17" t="n"/>
      <c r="R29" s="17" t="n"/>
      <c r="S29" s="17" t="n"/>
      <c r="T29" s="17" t="n"/>
    </row>
    <row r="30">
      <c r="A30" s="17" t="inlineStr">
        <is>
          <t>7.2</t>
        </is>
      </c>
      <c r="B30" s="17" t="inlineStr">
        <is>
          <t>Structural Fabrication considering 0.0 labor hours</t>
        </is>
      </c>
      <c r="C30" s="17" t="n"/>
      <c r="D30" s="17" t="n"/>
      <c r="E30" s="17" t="n"/>
      <c r="F30" s="17" t="n"/>
      <c r="G30" s="17" t="n">
        <v>0</v>
      </c>
      <c r="H30" s="17" t="inlineStr">
        <is>
          <t>Kg</t>
        </is>
      </c>
      <c r="I30" s="17" t="n">
        <v>0</v>
      </c>
      <c r="J30" s="17" t="n">
        <v>45</v>
      </c>
      <c r="K30" s="18">
        <f>I30*J30</f>
        <v/>
      </c>
      <c r="L30" s="17" t="n"/>
      <c r="M30" s="17" t="n">
        <v>0</v>
      </c>
      <c r="N30" s="17" t="inlineStr">
        <is>
          <t>Kg</t>
        </is>
      </c>
      <c r="O30" s="17" t="n">
        <v>45</v>
      </c>
      <c r="P30" s="18">
        <f>M30*O30</f>
        <v/>
      </c>
      <c r="Q30" s="17" t="n"/>
      <c r="R30" s="17" t="n"/>
      <c r="S30" s="17" t="n"/>
      <c r="T30" s="17" t="n"/>
    </row>
    <row r="31">
      <c r="A31" s="17" t="inlineStr">
        <is>
          <t>7.3</t>
        </is>
      </c>
      <c r="B31" s="17" t="inlineStr">
        <is>
          <t>Hydrotesting</t>
        </is>
      </c>
      <c r="C31" s="17" t="n"/>
      <c r="D31" s="17" t="n"/>
      <c r="E31" s="17" t="n"/>
      <c r="F31" s="17" t="n"/>
      <c r="G31" s="17" t="n">
        <v>0</v>
      </c>
      <c r="H31" s="17" t="inlineStr">
        <is>
          <t>Inch Dia</t>
        </is>
      </c>
      <c r="I31" s="17" t="n">
        <v>0</v>
      </c>
      <c r="J31" s="17" t="n">
        <v>45</v>
      </c>
      <c r="K31" s="18">
        <f>I31*J31</f>
        <v/>
      </c>
      <c r="L31" s="17" t="n"/>
      <c r="M31" s="17" t="n">
        <v>0</v>
      </c>
      <c r="N31" s="17" t="inlineStr">
        <is>
          <t>Inch Dia</t>
        </is>
      </c>
      <c r="O31" s="17" t="n">
        <v>45</v>
      </c>
      <c r="P31" s="18">
        <f>M31*O31</f>
        <v/>
      </c>
      <c r="Q31" s="17" t="n"/>
      <c r="R31" s="17" t="n"/>
      <c r="S31" s="17" t="n"/>
      <c r="T31" s="17" t="n"/>
    </row>
    <row r="32">
      <c r="A32" s="17" t="inlineStr">
        <is>
          <t>7.4</t>
        </is>
      </c>
      <c r="B32" s="17" t="inlineStr">
        <is>
          <t>Machining 8 labour hours per day for 4 days</t>
        </is>
      </c>
      <c r="C32" s="17" t="n"/>
      <c r="D32" s="17" t="n"/>
      <c r="E32" s="17" t="n"/>
      <c r="F32" s="17" t="n"/>
      <c r="G32" s="17" t="n">
        <v>0</v>
      </c>
      <c r="H32" s="17" t="inlineStr">
        <is>
          <t>Kg</t>
        </is>
      </c>
      <c r="I32" s="20" t="n">
        <v>32</v>
      </c>
      <c r="J32" s="17" t="n">
        <v>45</v>
      </c>
      <c r="K32" s="18">
        <f>I32*J32</f>
        <v/>
      </c>
      <c r="L32" s="17" t="n"/>
      <c r="M32" s="17" t="n">
        <v>0</v>
      </c>
      <c r="N32" s="17" t="inlineStr">
        <is>
          <t>Kg</t>
        </is>
      </c>
      <c r="O32" s="17" t="n">
        <v>45</v>
      </c>
      <c r="P32" s="18">
        <f>M32*O32</f>
        <v/>
      </c>
      <c r="Q32" s="17" t="n"/>
      <c r="R32" s="17" t="n"/>
      <c r="S32" s="17" t="n"/>
      <c r="T32" s="17" t="n"/>
    </row>
    <row r="33">
      <c r="A33" s="17" t="inlineStr">
        <is>
          <t>8</t>
        </is>
      </c>
      <c r="B33" s="17" t="inlineStr">
        <is>
          <t>Consumables</t>
        </is>
      </c>
      <c r="C33" s="17" t="n"/>
      <c r="D33" s="17" t="n"/>
      <c r="E33" s="17" t="n"/>
      <c r="F33" s="17" t="n"/>
      <c r="G33" s="20" t="n">
        <v>1</v>
      </c>
      <c r="H33" s="17" t="inlineStr">
        <is>
          <t>lot</t>
        </is>
      </c>
      <c r="I33" s="17" t="n"/>
      <c r="J33" s="17" t="n">
        <v>0</v>
      </c>
      <c r="K33" s="18">
        <f>G33*J33</f>
        <v/>
      </c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</row>
    <row r="34">
      <c r="A34" s="17" t="inlineStr">
        <is>
          <t>9</t>
        </is>
      </c>
      <c r="B34" s="17" t="inlineStr">
        <is>
          <t>Subcontractor Costing</t>
        </is>
      </c>
      <c r="C34" s="17" t="n"/>
      <c r="D34" s="17" t="n"/>
      <c r="E34" s="17" t="n"/>
      <c r="F34" s="17" t="n"/>
      <c r="G34" s="17" t="n">
        <v>0</v>
      </c>
      <c r="H34" s="17" t="inlineStr">
        <is>
          <t>lot</t>
        </is>
      </c>
      <c r="I34" s="17" t="n"/>
      <c r="J34" s="17" t="n"/>
      <c r="K34" s="17" t="inlineStr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>
      <c r="A35" s="17" t="inlineStr">
        <is>
          <t>9.1</t>
        </is>
      </c>
      <c r="B35" s="17" t="inlineStr">
        <is>
          <t>Machining &amp; Threading</t>
        </is>
      </c>
      <c r="C35" s="17" t="n"/>
      <c r="D35" s="17" t="n"/>
      <c r="E35" s="17" t="n"/>
      <c r="F35" s="17" t="n"/>
      <c r="G35" s="17" t="n">
        <v>0</v>
      </c>
      <c r="H35" s="17" t="inlineStr">
        <is>
          <t>Pcs</t>
        </is>
      </c>
      <c r="I35" s="17" t="n"/>
      <c r="J35" s="17" t="n"/>
      <c r="K35" s="17" t="inlineStr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>
      <c r="A36" s="17" t="inlineStr">
        <is>
          <t>10</t>
        </is>
      </c>
      <c r="B36" s="17" t="inlineStr">
        <is>
          <t>Testing &amp; Quality Control</t>
        </is>
      </c>
      <c r="C36" s="17" t="n"/>
      <c r="D36" s="17" t="n"/>
      <c r="E36" s="17" t="n"/>
      <c r="F36" s="17" t="n"/>
      <c r="G36" s="17" t="inlineStr"/>
      <c r="H36" s="17" t="inlineStr"/>
      <c r="I36" s="17" t="n"/>
      <c r="J36" s="17" t="n"/>
      <c r="K36" s="17" t="inlineStr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</row>
    <row r="37">
      <c r="A37" s="17" t="inlineStr">
        <is>
          <t>10.1</t>
        </is>
      </c>
      <c r="B37" s="17" t="inlineStr">
        <is>
          <t>10% MPI/DPT</t>
        </is>
      </c>
      <c r="C37" s="17" t="n"/>
      <c r="D37" s="17" t="n"/>
      <c r="E37" s="17" t="n"/>
      <c r="F37" s="17" t="n"/>
      <c r="G37" s="20" t="n">
        <v>10</v>
      </c>
      <c r="H37" s="17" t="inlineStr">
        <is>
          <t>Visits</t>
        </is>
      </c>
      <c r="I37" s="17" t="n"/>
      <c r="J37" s="17" t="n">
        <v>600</v>
      </c>
      <c r="K37" s="18">
        <f>G37*J37</f>
        <v/>
      </c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>
      <c r="A38" s="17" t="inlineStr">
        <is>
          <t>11</t>
        </is>
      </c>
      <c r="B38" s="17" t="inlineStr">
        <is>
          <t>Surface Preparation &amp; Coating</t>
        </is>
      </c>
      <c r="C38" s="17" t="n"/>
      <c r="D38" s="17" t="n"/>
      <c r="E38" s="17" t="n"/>
      <c r="F38" s="17" t="n"/>
      <c r="G38" s="17" t="inlineStr"/>
      <c r="H38" s="17" t="inlineStr"/>
      <c r="I38" s="17" t="n"/>
      <c r="J38" s="17" t="n"/>
      <c r="K38" s="17" t="inlineStr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</row>
    <row r="39">
      <c r="A39" s="17" t="inlineStr">
        <is>
          <t>11.1</t>
        </is>
      </c>
      <c r="B39" s="17" t="inlineStr">
        <is>
          <t>Galvanizing Work</t>
        </is>
      </c>
      <c r="C39" s="17" t="n"/>
      <c r="D39" s="17" t="n"/>
      <c r="E39" s="17" t="n"/>
      <c r="F39" s="17" t="n"/>
      <c r="G39" s="17" t="n">
        <v>0</v>
      </c>
      <c r="H39" s="17" t="inlineStr">
        <is>
          <t>Kg</t>
        </is>
      </c>
      <c r="I39" s="17" t="n"/>
      <c r="J39" s="17" t="n">
        <v>2000</v>
      </c>
      <c r="K39" s="17" t="inlineStr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</row>
    <row r="40">
      <c r="A40" s="17" t="inlineStr">
        <is>
          <t>11.2</t>
        </is>
      </c>
      <c r="B40" s="17" t="inlineStr">
        <is>
          <t>Blasting (0.0 Sq M)</t>
        </is>
      </c>
      <c r="C40" s="17" t="n"/>
      <c r="D40" s="17" t="n"/>
      <c r="E40" s="17" t="n"/>
      <c r="F40" s="17" t="n"/>
      <c r="G40" s="17" t="n">
        <v>0</v>
      </c>
      <c r="H40" s="17" t="inlineStr">
        <is>
          <t>SQM</t>
        </is>
      </c>
      <c r="I40" s="20">
        <f>1/13.3*G35*3</f>
        <v/>
      </c>
      <c r="J40" s="17" t="n">
        <v>55</v>
      </c>
      <c r="K40" s="17" t="inlineStr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</row>
    <row r="41">
      <c r="A41" s="17" t="inlineStr">
        <is>
          <t>11.3</t>
        </is>
      </c>
      <c r="B41" s="17" t="inlineStr">
        <is>
          <t>Painting (0.0 Sq M for 2 coat paint system)</t>
        </is>
      </c>
      <c r="C41" s="17" t="n"/>
      <c r="D41" s="17" t="n"/>
      <c r="E41" s="17" t="n"/>
      <c r="F41" s="17" t="n"/>
      <c r="G41" s="17" t="n">
        <v>0</v>
      </c>
      <c r="H41" s="17" t="inlineStr">
        <is>
          <t>SQM</t>
        </is>
      </c>
      <c r="I41" s="20">
        <f>1/6.65*G36*3</f>
        <v/>
      </c>
      <c r="J41" s="17" t="n">
        <v>55</v>
      </c>
      <c r="K41" s="17" t="inlineStr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>
      <c r="A42" s="17" t="inlineStr">
        <is>
          <t>12</t>
        </is>
      </c>
      <c r="B42" s="17" t="inlineStr">
        <is>
          <t>Third-Party Inspection (TPI)</t>
        </is>
      </c>
      <c r="C42" s="17" t="n"/>
      <c r="D42" s="17" t="n"/>
      <c r="E42" s="17" t="n"/>
      <c r="F42" s="17" t="n"/>
      <c r="G42" s="17" t="n">
        <v>0</v>
      </c>
      <c r="H42" s="17" t="inlineStr">
        <is>
          <t>lot</t>
        </is>
      </c>
      <c r="I42" s="17" t="n"/>
      <c r="J42" s="17" t="n"/>
      <c r="K42" s="17" t="inlineStr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</row>
    <row r="43">
      <c r="A43" s="17" t="inlineStr">
        <is>
          <t>13</t>
        </is>
      </c>
      <c r="B43" s="17" t="inlineStr">
        <is>
          <t>QA/QC Documentation &amp; Certification</t>
        </is>
      </c>
      <c r="C43" s="17" t="n"/>
      <c r="D43" s="17" t="n"/>
      <c r="E43" s="17" t="n"/>
      <c r="F43" s="17" t="n"/>
      <c r="G43" s="20" t="n">
        <v>1</v>
      </c>
      <c r="H43" s="17" t="inlineStr">
        <is>
          <t>lot</t>
        </is>
      </c>
      <c r="I43" s="17" t="n"/>
      <c r="J43" s="17" t="n">
        <v>3000</v>
      </c>
      <c r="K43" s="18">
        <f>G43*J43</f>
        <v/>
      </c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</row>
    <row r="44">
      <c r="A44" s="17" t="inlineStr">
        <is>
          <t>14</t>
        </is>
      </c>
      <c r="B44" s="17" t="inlineStr">
        <is>
          <t>Packing and loading</t>
        </is>
      </c>
      <c r="C44" s="17" t="n"/>
      <c r="D44" s="17" t="n"/>
      <c r="E44" s="17" t="n"/>
      <c r="F44" s="17" t="n"/>
      <c r="G44" s="20" t="n">
        <v>1</v>
      </c>
      <c r="H44" s="17" t="inlineStr">
        <is>
          <t>Lot</t>
        </is>
      </c>
      <c r="I44" s="17" t="n"/>
      <c r="J44" s="17" t="n">
        <v>3000</v>
      </c>
      <c r="K44" s="18">
        <f>G44*J44</f>
        <v/>
      </c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</row>
    <row r="45">
      <c r="A45" s="17" t="inlineStr">
        <is>
          <t>16</t>
        </is>
      </c>
      <c r="B45" s="17" t="inlineStr">
        <is>
          <t>Insurance</t>
        </is>
      </c>
      <c r="C45" s="17" t="n"/>
      <c r="D45" s="17" t="n"/>
      <c r="E45" s="17" t="n"/>
      <c r="F45" s="17" t="n"/>
      <c r="G45" s="17" t="n">
        <v>0</v>
      </c>
      <c r="H45" s="17" t="inlineStr">
        <is>
          <t>lot</t>
        </is>
      </c>
      <c r="I45" s="17" t="n"/>
      <c r="J45" s="17" t="n"/>
      <c r="K45" s="17" t="inlineStr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</row>
    <row r="46">
      <c r="A46" s="17" t="inlineStr">
        <is>
          <t>17</t>
        </is>
      </c>
      <c r="B46" s="17" t="inlineStr">
        <is>
          <t>Permits, Licenses &amp; Regulatory Fees</t>
        </is>
      </c>
      <c r="C46" s="17" t="n"/>
      <c r="D46" s="17" t="n"/>
      <c r="E46" s="17" t="n"/>
      <c r="F46" s="17" t="n"/>
      <c r="G46" s="17" t="n">
        <v>0</v>
      </c>
      <c r="H46" s="17" t="inlineStr">
        <is>
          <t>Nos</t>
        </is>
      </c>
      <c r="I46" s="17" t="n"/>
      <c r="J46" s="17" t="n"/>
      <c r="K46" s="17" t="inlineStr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</row>
    <row r="47">
      <c r="A47" s="17" t="inlineStr">
        <is>
          <t>18</t>
        </is>
      </c>
      <c r="B47" s="17" t="inlineStr">
        <is>
          <t>Equipment Rental &amp; Maintenance</t>
        </is>
      </c>
      <c r="C47" s="17" t="n"/>
      <c r="D47" s="17" t="n"/>
      <c r="E47" s="17" t="n"/>
      <c r="F47" s="17" t="n"/>
      <c r="G47" s="17" t="n">
        <v>0</v>
      </c>
      <c r="H47" s="17" t="inlineStr">
        <is>
          <t>lot</t>
        </is>
      </c>
      <c r="I47" s="17" t="n"/>
      <c r="J47" s="17" t="n"/>
      <c r="K47" s="17" t="inlineStr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</row>
    <row r="48">
      <c r="A48" s="17" t="inlineStr">
        <is>
          <t>20</t>
        </is>
      </c>
      <c r="B48" s="17" t="inlineStr">
        <is>
          <t>Contingency Fund</t>
        </is>
      </c>
      <c r="C48" s="17" t="n"/>
      <c r="D48" s="17" t="n"/>
      <c r="E48" s="17" t="n"/>
      <c r="F48" s="17" t="n"/>
      <c r="G48" s="17" t="n">
        <v>0</v>
      </c>
      <c r="H48" s="17" t="inlineStr">
        <is>
          <t>lot</t>
        </is>
      </c>
      <c r="I48" s="17" t="n"/>
      <c r="J48" s="17" t="n"/>
      <c r="K48" s="17" t="inlineStr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</row>
    <row r="49">
      <c r="A49" s="17" t="inlineStr">
        <is>
          <t>21</t>
        </is>
      </c>
      <c r="B49" s="17" t="inlineStr">
        <is>
          <t>Taxes &amp; Duties</t>
        </is>
      </c>
      <c r="C49" s="17" t="n"/>
      <c r="D49" s="17" t="n"/>
      <c r="E49" s="17" t="n"/>
      <c r="F49" s="17" t="n"/>
      <c r="G49" s="17" t="n">
        <v>0</v>
      </c>
      <c r="H49" s="17" t="inlineStr">
        <is>
          <t>lot</t>
        </is>
      </c>
      <c r="I49" s="17" t="n"/>
      <c r="J49" s="17" t="n"/>
      <c r="K49" s="17" t="inlineStr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</row>
    <row r="50">
      <c r="A50" s="17" t="inlineStr">
        <is>
          <t>22</t>
        </is>
      </c>
      <c r="B50" s="17" t="inlineStr">
        <is>
          <t>Warranty &amp; Guarantee Costs</t>
        </is>
      </c>
      <c r="C50" s="17" t="n"/>
      <c r="D50" s="17" t="n"/>
      <c r="E50" s="17" t="n"/>
      <c r="F50" s="17" t="n"/>
      <c r="G50" s="17" t="n">
        <v>0</v>
      </c>
      <c r="H50" s="17" t="inlineStr">
        <is>
          <t>lot</t>
        </is>
      </c>
      <c r="I50" s="17" t="n"/>
      <c r="J50" s="17" t="n"/>
      <c r="K50" s="17" t="inlineStr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</row>
    <row r="51">
      <c r="A51" s="17" t="inlineStr">
        <is>
          <t>23</t>
        </is>
      </c>
      <c r="B51" s="17" t="inlineStr">
        <is>
          <t>Project Management Fees</t>
        </is>
      </c>
      <c r="C51" s="17" t="n"/>
      <c r="D51" s="17" t="n"/>
      <c r="E51" s="17" t="n"/>
      <c r="F51" s="17" t="n"/>
      <c r="G51" s="17" t="n">
        <v>0</v>
      </c>
      <c r="H51" s="17" t="inlineStr">
        <is>
          <t>lot</t>
        </is>
      </c>
      <c r="I51" s="17" t="n"/>
      <c r="J51" s="17" t="n"/>
      <c r="K51" s="17" t="inlineStr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</row>
    <row r="52">
      <c r="A52" s="17" t="inlineStr">
        <is>
          <t>24</t>
        </is>
      </c>
      <c r="B52" s="17" t="inlineStr">
        <is>
          <t>Environmental Compliance Costs</t>
        </is>
      </c>
      <c r="C52" s="17" t="n"/>
      <c r="D52" s="17" t="n"/>
      <c r="E52" s="17" t="n"/>
      <c r="F52" s="17" t="n"/>
      <c r="G52" s="17" t="n">
        <v>0</v>
      </c>
      <c r="H52" s="17" t="inlineStr">
        <is>
          <t>lot</t>
        </is>
      </c>
      <c r="I52" s="17" t="n"/>
      <c r="J52" s="17" t="n"/>
      <c r="K52" s="17" t="inlineStr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</row>
    <row r="53">
      <c r="A53" s="17" t="inlineStr">
        <is>
          <t>25</t>
        </is>
      </c>
      <c r="B53" s="17" t="inlineStr">
        <is>
          <t>Training &amp; Certification</t>
        </is>
      </c>
      <c r="C53" s="17" t="n"/>
      <c r="D53" s="17" t="n"/>
      <c r="E53" s="17" t="n"/>
      <c r="F53" s="17" t="n"/>
      <c r="G53" s="17" t="n">
        <v>0</v>
      </c>
      <c r="H53" s="17" t="inlineStr">
        <is>
          <t>lot</t>
        </is>
      </c>
      <c r="I53" s="17" t="n"/>
      <c r="J53" s="17" t="n"/>
      <c r="K53" s="17" t="inlineStr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</row>
    <row r="54">
      <c r="A54" s="17" t="inlineStr">
        <is>
          <t>26</t>
        </is>
      </c>
      <c r="B54" s="17" t="inlineStr">
        <is>
          <t>Marketing &amp; Sales Costs</t>
        </is>
      </c>
      <c r="C54" s="17" t="n"/>
      <c r="D54" s="17" t="n"/>
      <c r="E54" s="17" t="n"/>
      <c r="F54" s="17" t="n"/>
      <c r="G54" s="17" t="n">
        <v>0</v>
      </c>
      <c r="H54" s="17" t="inlineStr">
        <is>
          <t>lot</t>
        </is>
      </c>
      <c r="I54" s="17" t="n"/>
      <c r="J54" s="17" t="n"/>
      <c r="K54" s="17" t="inlineStr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</row>
    <row r="55"/>
    <row r="56">
      <c r="B56" t="inlineStr">
        <is>
          <t>Total cost</t>
        </is>
      </c>
      <c r="D56" s="21">
        <f>SUM(K15:K55)</f>
        <v/>
      </c>
      <c r="S56">
        <f>SUM(P15:P55)</f>
        <v/>
      </c>
    </row>
    <row r="57">
      <c r="B57" t="inlineStr">
        <is>
          <t>19.Overheads</t>
        </is>
      </c>
      <c r="D57" s="22">
        <f>S56</f>
        <v/>
      </c>
    </row>
    <row r="58">
      <c r="B58" t="inlineStr">
        <is>
          <t>GRAND TOTAL</t>
        </is>
      </c>
      <c r="D58" s="23">
        <f>D56+D57</f>
        <v/>
      </c>
    </row>
    <row r="59">
      <c r="B59" t="inlineStr">
        <is>
          <t>Selling Price</t>
        </is>
      </c>
      <c r="D59" s="24" t="n">
        <v>266.62</v>
      </c>
    </row>
    <row r="60">
      <c r="B60" t="inlineStr">
        <is>
          <t>Net Profit</t>
        </is>
      </c>
      <c r="D60" s="22">
        <f>D59-D58</f>
        <v/>
      </c>
    </row>
    <row r="61">
      <c r="B61">
        <f>D60/D59</f>
        <v/>
      </c>
    </row>
    <row r="62"/>
    <row r="63">
      <c r="F63" t="inlineStr">
        <is>
          <t>ESTIMATION ENGR.</t>
        </is>
      </c>
      <c r="H63" t="inlineStr">
        <is>
          <t>Sachin Ahire</t>
        </is>
      </c>
      <c r="L63" t="inlineStr">
        <is>
          <t>PLANNING ENGR.</t>
        </is>
      </c>
      <c r="N63" t="inlineStr">
        <is>
          <t>Sachin Ahire</t>
        </is>
      </c>
    </row>
    <row r="64">
      <c r="F64" t="inlineStr">
        <is>
          <t>MANAGER:</t>
        </is>
      </c>
      <c r="H64" t="inlineStr">
        <is>
          <t>Subash Valrani</t>
        </is>
      </c>
      <c r="L64" t="inlineStr">
        <is>
          <t>MANAGER:</t>
        </is>
      </c>
      <c r="N64" t="inlineStr">
        <is>
          <t>Subash Valrani</t>
        </is>
      </c>
    </row>
    <row r="65">
      <c r="L65" t="inlineStr">
        <is>
          <t>ACCOUNTANT:</t>
        </is>
      </c>
      <c r="N65" t="inlineStr">
        <is>
          <t>Zeeshan</t>
        </is>
      </c>
    </row>
  </sheetData>
  <mergeCells count="63">
    <mergeCell ref="B11:D11"/>
    <mergeCell ref="J6:L6"/>
    <mergeCell ref="F5:H5"/>
    <mergeCell ref="F13:L13"/>
    <mergeCell ref="B16:F16"/>
    <mergeCell ref="B47:F47"/>
    <mergeCell ref="B54:F54"/>
    <mergeCell ref="B25:F25"/>
    <mergeCell ref="B31:F31"/>
    <mergeCell ref="B46:F46"/>
    <mergeCell ref="J4:L4"/>
    <mergeCell ref="M13:R13"/>
    <mergeCell ref="B22:F22"/>
    <mergeCell ref="B18:F18"/>
    <mergeCell ref="H7:J7"/>
    <mergeCell ref="B52:F52"/>
    <mergeCell ref="A1:T1"/>
    <mergeCell ref="B10:D10"/>
    <mergeCell ref="B21:F21"/>
    <mergeCell ref="B43:F43"/>
    <mergeCell ref="B39:F39"/>
    <mergeCell ref="E2:J2"/>
    <mergeCell ref="B48:F48"/>
    <mergeCell ref="B42:F42"/>
    <mergeCell ref="B9:D9"/>
    <mergeCell ref="B23:F23"/>
    <mergeCell ref="B14:F14"/>
    <mergeCell ref="B6:D6"/>
    <mergeCell ref="B17:F17"/>
    <mergeCell ref="B44:F44"/>
    <mergeCell ref="B53:F53"/>
    <mergeCell ref="B29:F29"/>
    <mergeCell ref="B5:D5"/>
    <mergeCell ref="B38:F38"/>
    <mergeCell ref="B32:F32"/>
    <mergeCell ref="B34:F34"/>
    <mergeCell ref="B28:F28"/>
    <mergeCell ref="B4:D4"/>
    <mergeCell ref="B19:F19"/>
    <mergeCell ref="B37:F37"/>
    <mergeCell ref="F4:H4"/>
    <mergeCell ref="B7:D7"/>
    <mergeCell ref="B40:F40"/>
    <mergeCell ref="F11:H11"/>
    <mergeCell ref="L7:N7"/>
    <mergeCell ref="B30:F30"/>
    <mergeCell ref="J5:L5"/>
    <mergeCell ref="B49:F49"/>
    <mergeCell ref="F6:H6"/>
    <mergeCell ref="B24:F24"/>
    <mergeCell ref="B20:F20"/>
    <mergeCell ref="B15:F15"/>
    <mergeCell ref="B33:F33"/>
    <mergeCell ref="A3:D3"/>
    <mergeCell ref="B51:F51"/>
    <mergeCell ref="M14:Q14"/>
    <mergeCell ref="B45:F45"/>
    <mergeCell ref="B36:F36"/>
    <mergeCell ref="B12:D12"/>
    <mergeCell ref="B50:F50"/>
    <mergeCell ref="B26:F26"/>
    <mergeCell ref="B41:F41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0" customWidth="1" min="4" max="4"/>
  </cols>
  <sheetData>
    <row r="1" ht="30" customHeight="1">
      <c r="A1" s="25" t="inlineStr">
        <is>
          <t>RATE CONFIGURATION (Snapshot at time of calculation)</t>
        </is>
      </c>
    </row>
    <row r="3" ht="22" customHeight="1">
      <c r="A3" s="26" t="inlineStr">
        <is>
          <t>Parameter</t>
        </is>
      </c>
      <c r="B3" s="26" t="inlineStr">
        <is>
          <t>Value</t>
        </is>
      </c>
      <c r="C3" s="26" t="inlineStr">
        <is>
          <t>Unit</t>
        </is>
      </c>
      <c r="D3" s="26" t="inlineStr">
        <is>
          <t>Description</t>
        </is>
      </c>
    </row>
    <row r="4" ht="18" customHeight="1">
      <c r="A4" s="27" t="inlineStr">
        <is>
          <t>Material Rate</t>
        </is>
      </c>
      <c r="B4" s="28" t="n">
        <v>3.5</v>
      </c>
      <c r="C4" s="27" t="inlineStr">
        <is>
          <t>AED/kg</t>
        </is>
      </c>
      <c r="D4" s="27" t="inlineStr">
        <is>
          <t>Steel material rate per kg</t>
        </is>
      </c>
    </row>
    <row r="5" ht="18" customHeight="1">
      <c r="A5" s="29" t="inlineStr">
        <is>
          <t>Fabrication Rate (weight)</t>
        </is>
      </c>
      <c r="B5" s="30" t="n">
        <v>6</v>
      </c>
      <c r="C5" s="29" t="inlineStr">
        <is>
          <t>AED/kg</t>
        </is>
      </c>
      <c r="D5" s="29" t="inlineStr">
        <is>
          <t>Weight-based fabrication rate</t>
        </is>
      </c>
    </row>
    <row r="6" ht="18" customHeight="1">
      <c r="A6" s="27" t="inlineStr">
        <is>
          <t>Fabrication Hourly Rate</t>
        </is>
      </c>
      <c r="B6" s="28" t="n">
        <v>45</v>
      </c>
      <c r="C6" s="27" t="inlineStr">
        <is>
          <t>AED/hr</t>
        </is>
      </c>
      <c r="D6" s="27" t="inlineStr">
        <is>
          <t>Manhour-based fabrication rate</t>
        </is>
      </c>
    </row>
    <row r="7" ht="18" customHeight="1">
      <c r="A7" s="29" t="inlineStr">
        <is>
          <t>Manhour Factor</t>
        </is>
      </c>
      <c r="B7" s="30" t="n">
        <v>0.15</v>
      </c>
      <c r="C7" s="29" t="inlineStr">
        <is>
          <t>hr/kg</t>
        </is>
      </c>
      <c r="D7" s="29" t="inlineStr">
        <is>
          <t>Fabrication manhours per kg of steel</t>
        </is>
      </c>
    </row>
    <row r="8" ht="18" customHeight="1">
      <c r="A8" s="27" t="inlineStr">
        <is>
          <t>Welding Time</t>
        </is>
      </c>
      <c r="B8" s="28" t="n">
        <v>0.8</v>
      </c>
      <c r="C8" s="27" t="inlineStr">
        <is>
          <t>hr/m</t>
        </is>
      </c>
      <c r="D8" s="27" t="inlineStr">
        <is>
          <t>Welding manhours per meter of weld</t>
        </is>
      </c>
    </row>
    <row r="9" ht="18" customHeight="1">
      <c r="A9" s="29" t="inlineStr">
        <is>
          <t>Welding Hourly Rate</t>
        </is>
      </c>
      <c r="B9" s="30" t="n">
        <v>45</v>
      </c>
      <c r="C9" s="29" t="inlineStr">
        <is>
          <t>AED/hr</t>
        </is>
      </c>
      <c r="D9" s="29" t="inlineStr">
        <is>
          <t>Welding labor rate</t>
        </is>
      </c>
    </row>
    <row r="10" ht="18" customHeight="1">
      <c r="A10" s="27" t="inlineStr">
        <is>
          <t>Consumable Factor</t>
        </is>
      </c>
      <c r="B10" s="28" t="n">
        <v>0.12</v>
      </c>
      <c r="C10" s="27" t="inlineStr">
        <is>
          <t>kg/m</t>
        </is>
      </c>
      <c r="D10" s="27" t="inlineStr">
        <is>
          <t>Welding consumables per meter of weld</t>
        </is>
      </c>
    </row>
    <row r="11" ht="18" customHeight="1">
      <c r="A11" s="29" t="inlineStr">
        <is>
          <t>Consumable Unit Rate</t>
        </is>
      </c>
      <c r="B11" s="30" t="n">
        <v>15</v>
      </c>
      <c r="C11" s="29" t="inlineStr">
        <is>
          <t>AED/kg</t>
        </is>
      </c>
      <c r="D11" s="29" t="inlineStr">
        <is>
          <t>Rate for welding consumables</t>
        </is>
      </c>
    </row>
    <row r="12" ht="18" customHeight="1">
      <c r="A12" s="27" t="inlineStr">
        <is>
          <t>Cutting Rate</t>
        </is>
      </c>
      <c r="B12" s="28" t="n">
        <v>25</v>
      </c>
      <c r="C12" s="27" t="inlineStr">
        <is>
          <t>AED/cut</t>
        </is>
      </c>
      <c r="D12" s="27" t="inlineStr">
        <is>
          <t>Rate per cut/saw cut</t>
        </is>
      </c>
    </row>
    <row r="13" ht="18" customHeight="1">
      <c r="A13" s="29" t="inlineStr">
        <is>
          <t>Surface Treatment Rate</t>
        </is>
      </c>
      <c r="B13" s="30" t="n">
        <v>55</v>
      </c>
      <c r="C13" s="29" t="inlineStr">
        <is>
          <t>AED/m²</t>
        </is>
      </c>
      <c r="D13" s="29" t="inlineStr">
        <is>
          <t>Blast &amp; prime or painting rate</t>
        </is>
      </c>
    </row>
    <row r="14" ht="18" customHeight="1">
      <c r="A14" s="27" t="inlineStr">
        <is>
          <t>Overhead %</t>
        </is>
      </c>
      <c r="B14" s="28" t="n">
        <v>15</v>
      </c>
      <c r="C14" s="27" t="inlineStr">
        <is>
          <t>%</t>
        </is>
      </c>
      <c r="D14" s="27" t="inlineStr">
        <is>
          <t>Overhead percentage on direct cost</t>
        </is>
      </c>
    </row>
    <row r="15" ht="18" customHeight="1">
      <c r="A15" s="29" t="inlineStr">
        <is>
          <t>Profit Margin %</t>
        </is>
      </c>
      <c r="B15" s="30" t="n">
        <v>12</v>
      </c>
      <c r="C15" s="29" t="inlineStr">
        <is>
          <t>%</t>
        </is>
      </c>
      <c r="D15" s="29" t="inlineStr">
        <is>
          <t>Net profit margin on total cost</t>
        </is>
      </c>
    </row>
    <row r="16" ht="18" customHeight="1">
      <c r="A16" s="27" t="inlineStr">
        <is>
          <t>Steel Density</t>
        </is>
      </c>
      <c r="B16" s="28" t="n">
        <v>7850</v>
      </c>
      <c r="C16" s="27" t="inlineStr">
        <is>
          <t>kg/m³</t>
        </is>
      </c>
      <c r="D16" s="27" t="inlineStr">
        <is>
          <t>Default steel density</t>
        </is>
      </c>
    </row>
    <row r="17" ht="18" customHeight="1">
      <c r="A17" s="29" t="inlineStr">
        <is>
          <t>Weld Length/Joint</t>
        </is>
      </c>
      <c r="B17" s="30" t="n">
        <v>150</v>
      </c>
      <c r="C17" s="29" t="inlineStr">
        <is>
          <t>mm</t>
        </is>
      </c>
      <c r="D17" s="29" t="inlineStr">
        <is>
          <t>Default weld length per joint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</cols>
  <sheetData>
    <row r="1" ht="30" customHeight="1">
      <c r="A1" s="25" t="inlineStr">
        <is>
          <t>CALCULATION AUDIT TRAIL</t>
        </is>
      </c>
    </row>
    <row r="2">
      <c r="A2" s="26" t="inlineStr">
        <is>
          <t>Step / Item</t>
        </is>
      </c>
      <c r="B2" s="26" t="inlineStr">
        <is>
          <t>Status</t>
        </is>
      </c>
      <c r="C2" s="26" t="inlineStr">
        <is>
          <t>Details</t>
        </is>
      </c>
    </row>
    <row r="3" ht="16" customHeight="1">
      <c r="A3" s="31" t="inlineStr">
        <is>
          <t>CS-2620-001</t>
        </is>
      </c>
      <c r="B3" s="31" t="inlineStr">
        <is>
          <t>calculated</t>
        </is>
      </c>
      <c r="C3" s="31" t="inlineStr">
        <is>
          <t>{'total_direct_cost': 74.5}</t>
        </is>
      </c>
    </row>
    <row r="4" ht="16" customHeight="1">
      <c r="A4" s="31" t="inlineStr">
        <is>
          <t>CS-2620-002</t>
        </is>
      </c>
      <c r="B4" s="31" t="inlineStr">
        <is>
          <t>calculated</t>
        </is>
      </c>
      <c r="C4" s="31" t="inlineStr">
        <is>
          <t>{'total_direct_cost': 74.5}</t>
        </is>
      </c>
    </row>
    <row r="5" ht="16" customHeight="1">
      <c r="A5" s="31" t="inlineStr">
        <is>
          <t>CS-2620-003</t>
        </is>
      </c>
      <c r="B5" s="31" t="inlineStr">
        <is>
          <t>calculated</t>
        </is>
      </c>
      <c r="C5" s="31" t="inlineStr">
        <is>
          <t>{'total_direct_cost': 58.0}</t>
        </is>
      </c>
    </row>
    <row r="6" ht="16" customHeight="1">
      <c r="A6" s="31" t="inlineStr">
        <is>
          <t>BOLT/PLATE</t>
        </is>
      </c>
      <c r="B6" s="31" t="inlineStr">
        <is>
          <t>calculated</t>
        </is>
      </c>
      <c r="C6" s="31" t="inlineStr">
        <is>
          <t>{'total_direct_cost': 0.0}</t>
        </is>
      </c>
    </row>
    <row r="7" ht="16" customHeight="1">
      <c r="A7" s="31" t="inlineStr">
        <is>
          <t>overhead_and_margin</t>
        </is>
      </c>
      <c r="B7" s="31" t="inlineStr">
        <is>
          <t>overhead_and_margin</t>
        </is>
      </c>
      <c r="C7" s="31" t="inlineStr">
        <is>
          <t>{'overhead_formula': 'Overhead = DirectCost(207.00) × 15.0% = 31.05', 'selling_formula': 'SellingPrice = TotalCost(238.05) × (1 + 12.0%) = 266.62'}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2026-04-16T11:41:22Z</dcterms:created>
  <dcterms:modified xmlns:dcterms="http://purl.org/dc/terms/" xmlns:xsi="http://www.w3.org/2001/XMLSchema-instance" xsi:type="dcterms:W3CDTF">2026-04-16T11:41:22Z</dcterms:modified>
</cp:coreProperties>
</file>