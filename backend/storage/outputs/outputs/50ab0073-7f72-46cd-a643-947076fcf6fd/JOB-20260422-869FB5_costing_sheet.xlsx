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142676- Structure Frame" sheetId="1" state="visible" r:id="rId1"/>
    <sheet xmlns:r="http://schemas.openxmlformats.org/officeDocument/2006/relationships" name="RATES &amp; CONFIG" sheetId="2" state="visible" r:id="rId2"/>
    <sheet xmlns:r="http://schemas.openxmlformats.org/officeDocument/2006/relationships" name="AUDIT TRAIL" sheetId="3" state="visible" r:id="rId3"/>
  </sheets>
  <definedNames>
    <definedName name="_xlnm.Print_Area" localSheetId="0">'142676- Structure Frame'!$A$1:$R$58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%"/>
    <numFmt numFmtId="166" formatCode="#,##0.000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Times New Roman"/>
      <family val="1"/>
      <color theme="1"/>
      <sz val="9"/>
    </font>
    <font>
      <name val="Times New Roman"/>
      <family val="1"/>
      <b val="1"/>
      <color theme="1"/>
      <sz val="8"/>
    </font>
    <font>
      <name val="Times New Roman"/>
      <family val="1"/>
      <color theme="1"/>
      <sz val="8"/>
    </font>
    <font>
      <name val="Arial"/>
      <family val="2"/>
      <color theme="1"/>
      <sz val="9"/>
    </font>
    <font>
      <name val="Arial"/>
      <family val="2"/>
      <color theme="0" tint="-0.3499862666707358"/>
      <sz val="8"/>
    </font>
    <font>
      <name val="Arial"/>
      <family val="2"/>
      <color theme="1"/>
      <sz val="8"/>
    </font>
    <font>
      <name val="Arial"/>
      <family val="2"/>
      <b val="1"/>
      <color rgb="FF000000"/>
      <sz val="9"/>
    </font>
    <font>
      <name val="Arial"/>
      <family val="2"/>
      <b val="1"/>
      <color theme="1"/>
      <sz val="10"/>
    </font>
    <font>
      <name val="Arial"/>
      <family val="2"/>
      <sz val="10"/>
    </font>
    <font>
      <name val="Tahoma"/>
      <family val="2"/>
      <b val="1"/>
      <sz val="10"/>
    </font>
    <font>
      <name val="Tahoma"/>
      <family val="2"/>
      <b val="1"/>
      <color theme="1"/>
      <sz val="10"/>
    </font>
    <font>
      <name val="Tahoma"/>
      <family val="2"/>
      <b val="1"/>
      <color theme="1"/>
      <sz val="10"/>
      <u val="single"/>
    </font>
    <font>
      <name val="Tahoma"/>
      <family val="2"/>
      <color theme="1"/>
      <sz val="10"/>
    </font>
    <font>
      <name val="Times New Roman"/>
      <family val="1"/>
      <color theme="1"/>
      <sz val="12"/>
    </font>
    <font>
      <name val="Calibri"/>
      <family val="2"/>
      <color theme="1"/>
      <sz val="8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38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/>
      <right style="thin"/>
      <top style="thin"/>
      <bottom style="thin"/>
    </border>
  </borders>
  <cellStyleXfs count="7">
    <xf numFmtId="0" fontId="1" fillId="0" borderId="0"/>
    <xf numFmtId="43" fontId="1" fillId="0" borderId="0"/>
    <xf numFmtId="9" fontId="1" fillId="0" borderId="0"/>
    <xf numFmtId="0" fontId="3" fillId="0" borderId="0"/>
    <xf numFmtId="0" fontId="16" fillId="0" borderId="0"/>
    <xf numFmtId="0" fontId="1" fillId="0" borderId="0"/>
    <xf numFmtId="43" fontId="1" fillId="0" borderId="0"/>
  </cellStyleXfs>
  <cellXfs count="238">
    <xf numFmtId="0" fontId="0" fillId="0" borderId="0" pivotButton="0" quotePrefix="0" xfId="0"/>
    <xf numFmtId="43" fontId="0" fillId="0" borderId="0" pivotButton="0" quotePrefix="0" xfId="1"/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15" fillId="0" borderId="18" applyAlignment="1" pivotButton="0" quotePrefix="0" xfId="0">
      <alignment vertical="center" wrapText="1"/>
    </xf>
    <xf numFmtId="0" fontId="15" fillId="0" borderId="6" applyAlignment="1" pivotButton="0" quotePrefix="0" xfId="0">
      <alignment horizontal="center" vertical="center" wrapText="1"/>
    </xf>
    <xf numFmtId="0" fontId="17" fillId="0" borderId="18" applyAlignment="1" pivotButton="0" quotePrefix="0" xfId="4">
      <alignment horizontal="center"/>
    </xf>
    <xf numFmtId="0" fontId="18" fillId="3" borderId="19" applyAlignment="1" pivotButton="0" quotePrefix="0" xfId="4">
      <alignment horizontal="center" vertical="center"/>
    </xf>
    <xf numFmtId="43" fontId="20" fillId="3" borderId="22" applyAlignment="1" pivotButton="0" quotePrefix="0" xfId="6">
      <alignment horizontal="left" vertical="center"/>
    </xf>
    <xf numFmtId="0" fontId="20" fillId="3" borderId="23" applyAlignment="1" pivotButton="0" quotePrefix="0" xfId="4">
      <alignment horizontal="center" vertical="center"/>
    </xf>
    <xf numFmtId="4" fontId="20" fillId="3" borderId="23" applyAlignment="1" pivotButton="0" quotePrefix="0" xfId="4">
      <alignment horizontal="right" vertical="center"/>
    </xf>
    <xf numFmtId="4" fontId="20" fillId="3" borderId="23" applyAlignment="1" pivotButton="0" quotePrefix="0" xfId="4">
      <alignment vertical="center"/>
    </xf>
    <xf numFmtId="0" fontId="11" fillId="0" borderId="24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9" fillId="3" borderId="29" applyAlignment="1" pivotButton="0" quotePrefix="0" xfId="5">
      <alignment horizontal="left" vertical="center" wrapText="1"/>
    </xf>
    <xf numFmtId="0" fontId="19" fillId="3" borderId="30" applyAlignment="1" pivotButton="0" quotePrefix="0" xfId="5">
      <alignment horizontal="left" vertical="center" wrapText="1"/>
    </xf>
    <xf numFmtId="43" fontId="20" fillId="3" borderId="31" applyAlignment="1" pivotButton="0" quotePrefix="0" xfId="6">
      <alignment horizontal="left" vertical="center"/>
    </xf>
    <xf numFmtId="0" fontId="20" fillId="3" borderId="26" applyAlignment="1" pivotButton="0" quotePrefix="0" xfId="4">
      <alignment horizontal="center" vertical="center"/>
    </xf>
    <xf numFmtId="4" fontId="20" fillId="3" borderId="26" applyAlignment="1" pivotButton="0" quotePrefix="0" xfId="4">
      <alignment horizontal="right" vertical="center"/>
    </xf>
    <xf numFmtId="4" fontId="20" fillId="0" borderId="26" applyAlignment="1" pivotButton="0" quotePrefix="0" xfId="4">
      <alignment vertical="center"/>
    </xf>
    <xf numFmtId="0" fontId="11" fillId="0" borderId="32" applyAlignment="1" pivotButton="0" quotePrefix="0" xfId="0">
      <alignment horizontal="center" vertical="center" wrapText="1"/>
    </xf>
    <xf numFmtId="0" fontId="20" fillId="3" borderId="29" applyAlignment="1" pivotButton="0" quotePrefix="0" xfId="4">
      <alignment horizontal="center" vertical="center"/>
    </xf>
    <xf numFmtId="0" fontId="20" fillId="3" borderId="19" applyAlignment="1" pivotButton="0" quotePrefix="0" xfId="4">
      <alignment horizontal="center" vertical="center"/>
    </xf>
    <xf numFmtId="43" fontId="11" fillId="0" borderId="25" applyAlignment="1" pivotButton="0" quotePrefix="0" xfId="0">
      <alignment horizontal="center" vertical="center" wrapText="1"/>
    </xf>
    <xf numFmtId="4" fontId="20" fillId="0" borderId="26" applyAlignment="1" pivotButton="0" quotePrefix="0" xfId="4">
      <alignment horizontal="right" vertical="center"/>
    </xf>
    <xf numFmtId="0" fontId="18" fillId="3" borderId="29" applyAlignment="1" pivotButton="0" quotePrefix="0" xfId="5">
      <alignment horizontal="left" vertical="center" wrapText="1"/>
    </xf>
    <xf numFmtId="0" fontId="18" fillId="3" borderId="30" applyAlignment="1" pivotButton="0" quotePrefix="0" xfId="5">
      <alignment horizontal="left" vertical="center" wrapText="1"/>
    </xf>
    <xf numFmtId="43" fontId="20" fillId="0" borderId="31" applyAlignment="1" pivotButton="0" quotePrefix="0" xfId="6">
      <alignment horizontal="left" vertical="center"/>
    </xf>
    <xf numFmtId="0" fontId="20" fillId="0" borderId="26" applyAlignment="1" pivotButton="0" quotePrefix="0" xfId="4">
      <alignment horizontal="center" vertical="center"/>
    </xf>
    <xf numFmtId="43" fontId="0" fillId="0" borderId="0" pivotButton="0" quotePrefix="0" xfId="0"/>
    <xf numFmtId="2" fontId="20" fillId="0" borderId="26" applyAlignment="1" pivotButton="0" quotePrefix="0" xfId="1">
      <alignment horizontal="center" vertical="center"/>
    </xf>
    <xf numFmtId="4" fontId="20" fillId="3" borderId="33" applyAlignment="1" pivotButton="0" quotePrefix="0" xfId="4">
      <alignment horizontal="right" vertical="center"/>
    </xf>
    <xf numFmtId="4" fontId="20" fillId="0" borderId="33" applyAlignment="1" pivotButton="0" quotePrefix="0" xfId="4">
      <alignment vertical="center"/>
    </xf>
    <xf numFmtId="0" fontId="11" fillId="0" borderId="3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2" fillId="0" borderId="0" pivotButton="0" quotePrefix="0" xfId="0"/>
    <xf numFmtId="0" fontId="21" fillId="0" borderId="0" applyAlignment="1" pivotButton="0" quotePrefix="0" xfId="0">
      <alignment vertical="center"/>
    </xf>
    <xf numFmtId="43" fontId="22" fillId="0" borderId="0" pivotButton="0" quotePrefix="0" xfId="0"/>
    <xf numFmtId="0" fontId="6" fillId="0" borderId="0" pivotButton="0" quotePrefix="0" xfId="0"/>
    <xf numFmtId="164" fontId="20" fillId="3" borderId="26" applyAlignment="1" pivotButton="0" quotePrefix="0" xfId="4">
      <alignment horizontal="center" vertical="center"/>
    </xf>
    <xf numFmtId="9" fontId="0" fillId="0" borderId="0" pivotButton="0" quotePrefix="0" xfId="2"/>
    <xf numFmtId="2" fontId="20" fillId="3" borderId="19" applyAlignment="1" pivotButton="0" quotePrefix="0" xfId="4">
      <alignment horizontal="center" vertical="center"/>
    </xf>
    <xf numFmtId="43" fontId="20" fillId="3" borderId="25" applyAlignment="1" pivotButton="0" quotePrefix="0" xfId="6">
      <alignment horizontal="left" vertical="center"/>
    </xf>
    <xf numFmtId="0" fontId="7" fillId="0" borderId="6" applyAlignment="1" pivotButton="0" quotePrefix="0" xfId="0">
      <alignment horizontal="center" vertical="center" wrapText="1"/>
    </xf>
    <xf numFmtId="0" fontId="19" fillId="3" borderId="19" applyAlignment="1" pivotButton="0" quotePrefix="0" xfId="5">
      <alignment horizontal="left" vertical="center" wrapText="1"/>
    </xf>
    <xf numFmtId="0" fontId="19" fillId="3" borderId="35" applyAlignment="1" pivotButton="0" quotePrefix="0" xfId="5">
      <alignment horizontal="left" vertical="center" wrapText="1"/>
    </xf>
    <xf numFmtId="0" fontId="19" fillId="3" borderId="40" applyAlignment="1" pivotButton="0" quotePrefix="0" xfId="5">
      <alignment horizontal="left" vertical="center" wrapText="1"/>
    </xf>
    <xf numFmtId="4" fontId="20" fillId="0" borderId="13" applyAlignment="1" pivotButton="0" quotePrefix="0" xfId="4">
      <alignment vertical="center"/>
    </xf>
    <xf numFmtId="4" fontId="20" fillId="0" borderId="0" applyAlignment="1" pivotButton="0" quotePrefix="0" xfId="4">
      <alignment vertical="center"/>
    </xf>
    <xf numFmtId="43" fontId="0" fillId="0" borderId="0" pivotButton="0" quotePrefix="0" xfId="1"/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vertical="center" wrapText="1"/>
    </xf>
    <xf numFmtId="0" fontId="6" fillId="0" borderId="8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vertical="center" wrapText="1"/>
    </xf>
    <xf numFmtId="0" fontId="7" fillId="0" borderId="6" applyAlignment="1" pivotButton="0" quotePrefix="0" xfId="0">
      <alignment vertical="center" wrapText="1"/>
    </xf>
    <xf numFmtId="14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3" fillId="0" borderId="4" applyAlignment="1" pivotButton="0" quotePrefix="0" xfId="3">
      <alignment horizontal="center" vertical="center" wrapText="1"/>
    </xf>
    <xf numFmtId="0" fontId="3" fillId="0" borderId="6" applyAlignment="1" pivotButton="0" quotePrefix="0" xfId="3">
      <alignment horizontal="center" vertical="center" wrapText="1"/>
    </xf>
    <xf numFmtId="0" fontId="7" fillId="0" borderId="4" applyAlignment="1" pivotButton="0" quotePrefix="0" xfId="0">
      <alignment vertical="center" wrapText="1"/>
    </xf>
    <xf numFmtId="1" fontId="7" fillId="0" borderId="1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1" fontId="7" fillId="0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0" fillId="0" borderId="3" applyAlignment="1" pivotButton="0" quotePrefix="0" xfId="0">
      <alignment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3" fontId="13" fillId="0" borderId="4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15" applyAlignment="1" pivotButton="0" quotePrefix="0" xfId="0">
      <alignment horizontal="left" vertical="center" wrapText="1"/>
    </xf>
    <xf numFmtId="0" fontId="12" fillId="0" borderId="16" applyAlignment="1" pivotButton="0" quotePrefix="0" xfId="0">
      <alignment horizontal="left" vertical="center" wrapText="1"/>
    </xf>
    <xf numFmtId="0" fontId="12" fillId="0" borderId="17" applyAlignment="1" pivotButton="0" quotePrefix="0" xfId="0">
      <alignment horizontal="left" vertical="center" wrapText="1"/>
    </xf>
    <xf numFmtId="0" fontId="19" fillId="3" borderId="29" applyAlignment="1" pivotButton="0" quotePrefix="0" xfId="5">
      <alignment horizontal="left" vertical="center" wrapText="1"/>
    </xf>
    <xf numFmtId="0" fontId="19" fillId="3" borderId="30" applyAlignment="1" pivotButton="0" quotePrefix="0" xfId="5">
      <alignment horizontal="left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4" fillId="2" borderId="6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9" fillId="4" borderId="20" applyAlignment="1" pivotButton="0" quotePrefix="0" xfId="5">
      <alignment horizontal="left" vertical="center" wrapText="1"/>
    </xf>
    <xf numFmtId="0" fontId="19" fillId="4" borderId="21" applyAlignment="1" pivotButton="0" quotePrefix="0" xfId="5">
      <alignment horizontal="left" vertical="center" wrapText="1"/>
    </xf>
    <xf numFmtId="0" fontId="19" fillId="3" borderId="20" applyAlignment="1" pivotButton="0" quotePrefix="0" xfId="5">
      <alignment horizontal="left" vertical="center" wrapText="1"/>
    </xf>
    <xf numFmtId="0" fontId="19" fillId="3" borderId="21" applyAlignment="1" pivotButton="0" quotePrefix="0" xfId="5">
      <alignment horizontal="left" vertical="center" wrapText="1"/>
    </xf>
    <xf numFmtId="0" fontId="19" fillId="3" borderId="39" applyAlignment="1" pivotButton="0" quotePrefix="0" xfId="5">
      <alignment horizontal="left" vertical="center" wrapText="1"/>
    </xf>
    <xf numFmtId="0" fontId="20" fillId="3" borderId="31" applyAlignment="1" pivotButton="0" quotePrefix="0" xfId="5">
      <alignment horizontal="left" vertical="center" wrapText="1"/>
    </xf>
    <xf numFmtId="0" fontId="20" fillId="3" borderId="26" applyAlignment="1" pivotButton="0" quotePrefix="0" xfId="5">
      <alignment horizontal="left" vertical="center" wrapText="1"/>
    </xf>
    <xf numFmtId="0" fontId="20" fillId="3" borderId="32" applyAlignment="1" pivotButton="0" quotePrefix="0" xfId="5">
      <alignment horizontal="left" vertical="center" wrapText="1"/>
    </xf>
    <xf numFmtId="0" fontId="20" fillId="3" borderId="37" applyAlignment="1" pivotButton="0" quotePrefix="0" xfId="5">
      <alignment horizontal="left" vertical="center" wrapText="1"/>
    </xf>
    <xf numFmtId="0" fontId="20" fillId="3" borderId="38" applyAlignment="1" pivotButton="0" quotePrefix="0" xfId="5">
      <alignment horizontal="left" vertical="center" wrapText="1"/>
    </xf>
    <xf numFmtId="0" fontId="20" fillId="3" borderId="29" applyAlignment="1" pivotButton="0" quotePrefix="0" xfId="5">
      <alignment horizontal="left" vertical="center" wrapText="1"/>
    </xf>
    <xf numFmtId="0" fontId="20" fillId="3" borderId="30" applyAlignment="1" pivotButton="0" quotePrefix="0" xfId="5">
      <alignment horizontal="left" vertical="center" wrapText="1"/>
    </xf>
    <xf numFmtId="0" fontId="20" fillId="3" borderId="28" applyAlignment="1" pivotButton="0" quotePrefix="0" xfId="5">
      <alignment horizontal="left" vertical="center" wrapText="1"/>
    </xf>
    <xf numFmtId="0" fontId="19" fillId="3" borderId="28" applyAlignment="1" pivotButton="0" quotePrefix="0" xfId="5">
      <alignment horizontal="left" vertical="center" wrapText="1"/>
    </xf>
    <xf numFmtId="0" fontId="20" fillId="3" borderId="19" applyAlignment="1" pivotButton="0" quotePrefix="0" xfId="5">
      <alignment horizontal="left" vertical="center" wrapText="1"/>
    </xf>
    <xf numFmtId="0" fontId="20" fillId="3" borderId="35" applyAlignment="1" pivotButton="0" quotePrefix="0" xfId="5">
      <alignment horizontal="left" vertical="center" wrapText="1"/>
    </xf>
    <xf numFmtId="0" fontId="20" fillId="3" borderId="29" applyAlignment="1" pivotButton="0" quotePrefix="0" xfId="5">
      <alignment vertical="center" wrapText="1"/>
    </xf>
    <xf numFmtId="0" fontId="20" fillId="3" borderId="30" applyAlignment="1" pivotButton="0" quotePrefix="0" xfId="5">
      <alignment vertical="center" wrapText="1"/>
    </xf>
    <xf numFmtId="0" fontId="7" fillId="4" borderId="4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43" fontId="6" fillId="4" borderId="4" applyAlignment="1" pivotButton="0" quotePrefix="0" xfId="1">
      <alignment horizontal="center" vertical="center" wrapText="1"/>
    </xf>
    <xf numFmtId="43" fontId="6" fillId="4" borderId="5" applyAlignment="1" pivotButton="0" quotePrefix="0" xfId="1">
      <alignment horizontal="center" vertical="center" wrapText="1"/>
    </xf>
    <xf numFmtId="43" fontId="6" fillId="4" borderId="6" applyAlignment="1" pivotButton="0" quotePrefix="0" xfId="1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43" fontId="6" fillId="4" borderId="1" applyAlignment="1" pivotButton="0" quotePrefix="0" xfId="1">
      <alignment horizontal="center" vertical="center" wrapText="1"/>
    </xf>
    <xf numFmtId="43" fontId="6" fillId="4" borderId="2" applyAlignment="1" pivotButton="0" quotePrefix="0" xfId="1">
      <alignment horizontal="center" vertical="center" wrapText="1"/>
    </xf>
    <xf numFmtId="43" fontId="6" fillId="4" borderId="3" applyAlignment="1" pivotButton="0" quotePrefix="0" xfId="1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43" fontId="6" fillId="4" borderId="7" applyAlignment="1" pivotButton="0" quotePrefix="0" xfId="1">
      <alignment horizontal="center" vertical="center" wrapText="1"/>
    </xf>
    <xf numFmtId="43" fontId="6" fillId="4" borderId="8" applyAlignment="1" pivotButton="0" quotePrefix="0" xfId="1">
      <alignment horizontal="center" vertical="center" wrapText="1"/>
    </xf>
    <xf numFmtId="43" fontId="6" fillId="4" borderId="9" applyAlignment="1" pivotButton="0" quotePrefix="0" xfId="1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4" fontId="20" fillId="3" borderId="36" applyAlignment="1" pivotButton="0" quotePrefix="0" xfId="5">
      <alignment horizontal="left" vertical="center" wrapText="1"/>
    </xf>
    <xf numFmtId="43" fontId="0" fillId="0" borderId="0" pivotButton="0" quotePrefix="0" xfId="1"/>
    <xf numFmtId="0" fontId="4" fillId="0" borderId="4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6" fillId="0" borderId="41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7" fillId="0" borderId="18" applyAlignment="1" pivotButton="0" quotePrefix="0" xfId="0">
      <alignment horizontal="left" vertical="center" wrapText="1"/>
    </xf>
    <xf numFmtId="0" fontId="0" fillId="0" borderId="6" pivotButton="0" quotePrefix="0" xfId="0"/>
    <xf numFmtId="14" fontId="7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vertical="center" wrapText="1"/>
    </xf>
    <xf numFmtId="0" fontId="9" fillId="0" borderId="18" applyAlignment="1" pivotButton="0" quotePrefix="0" xfId="0">
      <alignment horizontal="center" vertical="center" wrapText="1"/>
    </xf>
    <xf numFmtId="0" fontId="3" fillId="0" borderId="18" applyAlignment="1" pivotButton="0" quotePrefix="0" xfId="3">
      <alignment horizontal="center" vertical="center" wrapText="1"/>
    </xf>
    <xf numFmtId="1" fontId="7" fillId="0" borderId="43" applyAlignment="1" pivotButton="0" quotePrefix="0" xfId="0">
      <alignment horizontal="center" vertical="center" wrapText="1"/>
    </xf>
    <xf numFmtId="0" fontId="10" fillId="0" borderId="43" applyAlignment="1" pivotButton="0" quotePrefix="0" xfId="0">
      <alignment vertical="center" wrapText="1"/>
    </xf>
    <xf numFmtId="0" fontId="0" fillId="0" borderId="14" pivotButton="0" quotePrefix="0" xfId="0"/>
    <xf numFmtId="0" fontId="6" fillId="0" borderId="18" applyAlignment="1" pivotButton="0" quotePrefix="0" xfId="0">
      <alignment horizontal="center" vertical="center" wrapText="1"/>
    </xf>
    <xf numFmtId="0" fontId="6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0">
      <alignment horizontal="center" vertical="center"/>
    </xf>
    <xf numFmtId="0" fontId="11" fillId="0" borderId="5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12" fillId="0" borderId="50" applyAlignment="1" pivotButton="0" quotePrefix="0" xfId="0">
      <alignment horizontal="left" vertical="center" wrapText="1"/>
    </xf>
    <xf numFmtId="3" fontId="13" fillId="0" borderId="18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left" vertical="center" wrapText="1"/>
    </xf>
    <xf numFmtId="0" fontId="14" fillId="2" borderId="18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vertical="center" wrapText="1"/>
    </xf>
    <xf numFmtId="0" fontId="0" fillId="0" borderId="21" pivotButton="0" quotePrefix="0" xfId="0"/>
    <xf numFmtId="43" fontId="20" fillId="3" borderId="22" applyAlignment="1" pivotButton="0" quotePrefix="0" xfId="6">
      <alignment horizontal="left" vertical="center"/>
    </xf>
    <xf numFmtId="0" fontId="0" fillId="0" borderId="28" pivotButton="0" quotePrefix="0" xfId="0"/>
    <xf numFmtId="0" fontId="0" fillId="0" borderId="30" pivotButton="0" quotePrefix="0" xfId="0"/>
    <xf numFmtId="43" fontId="20" fillId="3" borderId="31" applyAlignment="1" pivotButton="0" quotePrefix="0" xfId="6">
      <alignment horizontal="left" vertical="center"/>
    </xf>
    <xf numFmtId="0" fontId="19" fillId="3" borderId="47" applyAlignment="1" pivotButton="0" quotePrefix="0" xfId="5">
      <alignment horizontal="left" vertical="center" wrapText="1"/>
    </xf>
    <xf numFmtId="0" fontId="0" fillId="0" borderId="39" pivotButton="0" quotePrefix="0" xfId="0"/>
    <xf numFmtId="43" fontId="20" fillId="3" borderId="25" applyAlignment="1" pivotButton="0" quotePrefix="0" xfId="6">
      <alignment horizontal="left" vertical="center"/>
    </xf>
    <xf numFmtId="0" fontId="0" fillId="0" borderId="25" pivotButton="0" quotePrefix="0" xfId="0"/>
    <xf numFmtId="166" fontId="20" fillId="3" borderId="25" applyAlignment="1" pivotButton="0" quotePrefix="0" xfId="6">
      <alignment horizontal="left" vertical="center"/>
    </xf>
    <xf numFmtId="4" fontId="20" fillId="3" borderId="49" applyAlignment="1" pivotButton="0" quotePrefix="0" xfId="5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43" fontId="11" fillId="0" borderId="25" applyAlignment="1" pivotButton="0" quotePrefix="0" xfId="0">
      <alignment horizontal="center" vertical="center" wrapText="1"/>
    </xf>
    <xf numFmtId="0" fontId="19" fillId="3" borderId="46" applyAlignment="1" pivotButton="0" quotePrefix="0" xfId="5">
      <alignment horizontal="left" vertical="center" wrapText="1"/>
    </xf>
    <xf numFmtId="0" fontId="20" fillId="3" borderId="46" applyAlignment="1" pivotButton="0" quotePrefix="0" xfId="5">
      <alignment horizontal="left" vertical="center" wrapText="1"/>
    </xf>
    <xf numFmtId="166" fontId="20" fillId="3" borderId="26" applyAlignment="1" pivotButton="0" quotePrefix="0" xfId="4">
      <alignment horizontal="center" vertical="center"/>
    </xf>
    <xf numFmtId="0" fontId="0" fillId="0" borderId="35" pivotButton="0" quotePrefix="0" xfId="0"/>
    <xf numFmtId="43" fontId="20" fillId="0" borderId="31" applyAlignment="1" pivotButton="0" quotePrefix="0" xfId="6">
      <alignment horizontal="left" vertical="center"/>
    </xf>
    <xf numFmtId="164" fontId="20" fillId="3" borderId="26" applyAlignment="1" pivotButton="0" quotePrefix="0" xfId="4">
      <alignment horizontal="center" vertical="center"/>
    </xf>
    <xf numFmtId="43" fontId="0" fillId="0" borderId="0" pivotButton="0" quotePrefix="0" xfId="0"/>
    <xf numFmtId="166" fontId="20" fillId="0" borderId="31" applyAlignment="1" pivotButton="0" quotePrefix="0" xfId="6">
      <alignment horizontal="left" vertical="center"/>
    </xf>
    <xf numFmtId="166" fontId="20" fillId="3" borderId="31" applyAlignment="1" pivotButton="0" quotePrefix="0" xfId="6">
      <alignment horizontal="left" vertical="center"/>
    </xf>
    <xf numFmtId="4" fontId="6" fillId="4" borderId="43" applyAlignment="1" pivotButton="0" quotePrefix="0" xfId="1">
      <alignment horizontal="center" vertical="center" wrapText="1"/>
    </xf>
    <xf numFmtId="0" fontId="7" fillId="0" borderId="43" applyAlignment="1" pivotButton="0" quotePrefix="0" xfId="0">
      <alignment horizontal="center" vertical="center" wrapText="1"/>
    </xf>
    <xf numFmtId="4" fontId="6" fillId="4" borderId="18" applyAlignment="1" pivotButton="0" quotePrefix="0" xfId="1">
      <alignment horizontal="center" vertical="center" wrapText="1"/>
    </xf>
    <xf numFmtId="4" fontId="6" fillId="4" borderId="41" applyAlignment="1" pivotButton="0" quotePrefix="0" xfId="1">
      <alignment horizontal="center" vertical="center" wrapText="1"/>
    </xf>
    <xf numFmtId="0" fontId="7" fillId="0" borderId="18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 wrapText="1"/>
    </xf>
    <xf numFmtId="165" fontId="0" fillId="0" borderId="0" pivotButton="0" quotePrefix="0" xfId="2"/>
    <xf numFmtId="43" fontId="22" fillId="0" borderId="0" pivotButton="0" quotePrefix="0" xfId="0"/>
    <xf numFmtId="0" fontId="23" fillId="5" borderId="0" applyAlignment="1" pivotButton="0" quotePrefix="0" xfId="0">
      <alignment horizontal="center" vertical="center"/>
    </xf>
    <xf numFmtId="0" fontId="24" fillId="5" borderId="52" applyAlignment="1" pivotButton="0" quotePrefix="0" xfId="0">
      <alignment horizontal="center" vertical="center"/>
    </xf>
    <xf numFmtId="0" fontId="25" fillId="0" borderId="52" pivotButton="0" quotePrefix="0" xfId="0"/>
    <xf numFmtId="166" fontId="25" fillId="0" borderId="52" pivotButton="0" quotePrefix="0" xfId="0"/>
    <xf numFmtId="0" fontId="25" fillId="0" borderId="52" applyAlignment="1" pivotButton="0" quotePrefix="0" xfId="0">
      <alignment horizontal="left" vertical="top" wrapText="1"/>
    </xf>
  </cellXfs>
  <cellStyles count="7">
    <cellStyle name="Normal" xfId="0" builtinId="0"/>
    <cellStyle name="Comma" xfId="1" builtinId="3"/>
    <cellStyle name="Percent" xfId="2" builtinId="5"/>
    <cellStyle name="Hyperlink" xfId="3" builtinId="8"/>
    <cellStyle name="Normal 2" xfId="4"/>
    <cellStyle name="Normal 3" xfId="5"/>
    <cellStyle name="Comma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385763</colOff>
      <row>0</row>
      <rowOff>83344</rowOff>
    </from>
    <to>
      <col>1</col>
      <colOff>809625</colOff>
      <row>0</row>
      <rowOff>631032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85763" y="83344"/>
          <a:ext cx="1033462" cy="54768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71"/>
  <sheetViews>
    <sheetView tabSelected="1" zoomScale="85" zoomScaleNormal="85" workbookViewId="0">
      <selection activeCell="M41" sqref="M41"/>
    </sheetView>
  </sheetViews>
  <sheetFormatPr baseColWidth="8" defaultRowHeight="15"/>
  <cols>
    <col width="16.5703125" customWidth="1" min="2" max="2"/>
    <col width="16.85546875" customWidth="1" min="3" max="3"/>
    <col width="17.28515625" customWidth="1" min="4" max="4"/>
    <col width="12" customWidth="1" min="5" max="5"/>
    <col width="8.7109375" customWidth="1" min="6" max="6"/>
    <col width="11.5703125" bestFit="1" customWidth="1" min="7" max="7"/>
    <col width="9.5703125" customWidth="1" min="8" max="8"/>
    <col width="12.140625" bestFit="1" customWidth="1" min="9" max="9"/>
    <col width="12.42578125" customWidth="1" min="10" max="10"/>
    <col width="13" bestFit="1" customWidth="1" min="11" max="11"/>
    <col width="11.85546875" customWidth="1" min="12" max="12"/>
    <col width="21" customWidth="1" min="13" max="13"/>
    <col width="10.28515625" customWidth="1" min="14" max="14"/>
    <col width="9.28515625" customWidth="1" min="15" max="15"/>
    <col width="10.28515625" customWidth="1" min="16" max="16"/>
    <col width="8.28515625" customWidth="1" min="17" max="17"/>
    <col width="6.140625" customWidth="1" min="18" max="18"/>
    <col width="11.140625" bestFit="1" customWidth="1" style="172" min="19" max="19"/>
  </cols>
  <sheetData>
    <row r="1" ht="52.5" customHeight="1" thickBot="1">
      <c r="A1" s="173" t="inlineStr">
        <is>
          <t>C&amp;J GULF EQUIPMENT MANUFACTURING L.L.C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5" t="n"/>
    </row>
    <row r="2" ht="27" customHeight="1" thickBot="1">
      <c r="A2" s="2" t="n"/>
      <c r="B2" s="3" t="n"/>
      <c r="C2" s="3" t="n"/>
      <c r="D2" s="3" t="n"/>
      <c r="E2" s="62" t="inlineStr">
        <is>
          <t xml:space="preserve"> Job Costing Sheet</t>
        </is>
      </c>
      <c r="F2" s="176" t="n"/>
      <c r="G2" s="176" t="n"/>
      <c r="H2" s="176" t="n"/>
      <c r="I2" s="176" t="n"/>
      <c r="J2" s="176" t="n"/>
      <c r="K2" s="176" t="n"/>
      <c r="L2" s="176" t="n"/>
      <c r="M2" s="176" t="n"/>
      <c r="N2" s="3" t="n"/>
      <c r="O2" s="3" t="n"/>
      <c r="P2" s="3" t="n"/>
      <c r="Q2" s="3" t="n"/>
      <c r="R2" s="4" t="n"/>
    </row>
    <row r="3" ht="15.75" customHeight="1" thickBot="1">
      <c r="A3" s="177" t="inlineStr">
        <is>
          <t>REF NO: JOB-20260422-869FB5</t>
        </is>
      </c>
      <c r="B3" s="178" t="n"/>
      <c r="C3" s="178" t="n"/>
      <c r="D3" s="178" t="n"/>
      <c r="E3" s="178" t="n"/>
      <c r="F3" s="178" t="n"/>
      <c r="G3" s="178" t="n"/>
      <c r="H3" s="178" t="n"/>
      <c r="I3" s="178" t="n"/>
      <c r="J3" s="178" t="n"/>
      <c r="K3" s="178" t="n"/>
      <c r="L3" s="178" t="n"/>
      <c r="M3" s="178" t="n"/>
      <c r="N3" s="178" t="n"/>
      <c r="O3" s="178" t="n"/>
      <c r="P3" s="178" t="n"/>
      <c r="Q3" s="178" t="n"/>
      <c r="R3" s="179" t="n"/>
    </row>
    <row r="4" ht="21" customHeight="1" thickBot="1">
      <c r="A4" s="180" t="inlineStr">
        <is>
          <t>CUSTOMER NAME</t>
        </is>
      </c>
      <c r="B4" s="181" t="n"/>
      <c r="C4" s="68" t="inlineStr"/>
      <c r="D4" s="176" t="n"/>
      <c r="E4" s="71" t="inlineStr">
        <is>
          <t>DATE</t>
        </is>
      </c>
      <c r="F4" s="181" t="n"/>
      <c r="G4" s="182" t="inlineStr">
        <is>
          <t>2026-04-22</t>
        </is>
      </c>
      <c r="H4" s="176" t="n"/>
      <c r="I4" s="176" t="n"/>
      <c r="J4" s="176" t="n"/>
      <c r="K4" s="176" t="n"/>
      <c r="L4" s="181" t="n"/>
      <c r="M4" s="70" t="inlineStr">
        <is>
          <t>ENQUIRY No</t>
        </is>
      </c>
      <c r="N4" s="176" t="n"/>
      <c r="O4" s="183" t="inlineStr"/>
      <c r="P4" s="176" t="n"/>
      <c r="Q4" s="176" t="n"/>
      <c r="R4" s="181" t="n"/>
    </row>
    <row r="5" ht="20.45" customHeight="1" thickBot="1">
      <c r="A5" s="66" t="inlineStr">
        <is>
          <t>CUSTOMER CODE</t>
        </is>
      </c>
      <c r="B5" s="176" t="n"/>
      <c r="C5" s="184" t="n"/>
      <c r="D5" s="181" t="n"/>
      <c r="E5" s="185" t="inlineStr">
        <is>
          <t>ATTENTION OF</t>
        </is>
      </c>
      <c r="F5" s="181" t="n"/>
      <c r="G5" s="183" t="n"/>
      <c r="H5" s="176" t="n"/>
      <c r="I5" s="176" t="n"/>
      <c r="J5" s="176" t="n"/>
      <c r="K5" s="176" t="n"/>
      <c r="L5" s="181" t="n"/>
      <c r="M5" s="70" t="inlineStr">
        <is>
          <t>JOB NO.</t>
        </is>
      </c>
      <c r="N5" s="176" t="n"/>
      <c r="O5" s="186" t="inlineStr">
        <is>
          <t>JOB-20260422-869FB5</t>
        </is>
      </c>
      <c r="P5" s="176" t="n"/>
      <c r="Q5" s="176" t="n"/>
      <c r="R5" s="181" t="n"/>
    </row>
    <row r="6" ht="19.15" customHeight="1" thickBot="1">
      <c r="A6" s="74" t="inlineStr">
        <is>
          <t>EMAIL</t>
        </is>
      </c>
      <c r="B6" s="174" t="n"/>
      <c r="C6" s="187" t="n"/>
      <c r="D6" s="181" t="n"/>
      <c r="E6" s="185" t="inlineStr">
        <is>
          <t>CONTACT NO:</t>
        </is>
      </c>
      <c r="F6" s="181" t="n"/>
      <c r="G6" s="188" t="n"/>
      <c r="H6" s="174" t="n"/>
      <c r="I6" s="174" t="n"/>
      <c r="J6" s="174" t="n"/>
      <c r="K6" s="174" t="n"/>
      <c r="L6" s="175" t="n"/>
      <c r="M6" s="70" t="inlineStr">
        <is>
          <t>JORL DATE:</t>
        </is>
      </c>
      <c r="N6" s="176" t="n"/>
      <c r="O6" s="189" t="n"/>
      <c r="P6" s="174" t="n"/>
      <c r="Q6" s="174" t="n"/>
      <c r="R6" s="175" t="n"/>
    </row>
    <row r="7" ht="24" customHeight="1" thickBot="1">
      <c r="A7" s="66" t="inlineStr">
        <is>
          <t>PROJECT PACKAGE DETAILS</t>
        </is>
      </c>
      <c r="B7" s="176" t="n"/>
      <c r="C7" s="68" t="inlineStr"/>
      <c r="D7" s="103" t="n"/>
      <c r="E7" s="183" t="inlineStr">
        <is>
          <t>MODULE WORK</t>
        </is>
      </c>
      <c r="F7" s="181" t="n"/>
      <c r="G7" s="100" t="inlineStr"/>
      <c r="H7" s="190" t="n"/>
      <c r="I7" s="101" t="n"/>
      <c r="J7" s="102" t="n"/>
      <c r="K7" s="176" t="n"/>
      <c r="L7" s="190" t="n"/>
      <c r="M7" s="100" t="n"/>
      <c r="N7" s="190" t="n"/>
      <c r="O7" s="104" t="n"/>
      <c r="P7" s="190" t="n"/>
      <c r="Q7" s="73" t="n"/>
      <c r="R7" s="181" t="n"/>
    </row>
    <row r="8" ht="15" customHeight="1" thickBot="1">
      <c r="A8" s="91" t="n"/>
      <c r="B8" s="178" t="n"/>
      <c r="C8" s="178" t="n"/>
      <c r="D8" s="178" t="n"/>
      <c r="E8" s="191" t="n"/>
      <c r="F8" s="181" t="n"/>
      <c r="G8" s="192" t="n"/>
      <c r="H8" s="178" t="n"/>
      <c r="I8" s="178" t="n"/>
      <c r="J8" s="178" t="n"/>
      <c r="K8" s="178" t="n"/>
      <c r="L8" s="179" t="n"/>
      <c r="M8" s="96" t="n"/>
      <c r="O8" s="193" t="n"/>
      <c r="P8" s="178" t="n"/>
      <c r="Q8" s="178" t="n"/>
      <c r="R8" s="179" t="n"/>
    </row>
    <row r="9" ht="21" customHeight="1" thickBot="1">
      <c r="A9" s="74" t="inlineStr">
        <is>
          <t>CUSTOMER P.O. Ref :</t>
        </is>
      </c>
      <c r="B9" s="174" t="n"/>
      <c r="C9" s="183" t="n"/>
      <c r="D9" s="181" t="n"/>
      <c r="E9" s="180" t="n"/>
      <c r="F9" s="181" t="n"/>
      <c r="G9" s="183" t="n"/>
      <c r="H9" s="176" t="n"/>
      <c r="I9" s="176" t="n"/>
      <c r="J9" s="176" t="n"/>
      <c r="K9" s="176" t="n"/>
      <c r="L9" s="181" t="n"/>
      <c r="M9" s="75" t="n"/>
      <c r="N9" s="174" t="n"/>
      <c r="O9" s="194" t="n"/>
      <c r="P9" s="195" t="n"/>
      <c r="Q9" s="195" t="n"/>
      <c r="R9" s="196" t="n"/>
    </row>
    <row r="10" ht="24" customHeight="1" thickBot="1">
      <c r="A10" s="66" t="inlineStr">
        <is>
          <t xml:space="preserve"> SALES EMPOLOYEE CODE</t>
        </is>
      </c>
      <c r="B10" s="176" t="n"/>
      <c r="C10" s="183" t="n"/>
      <c r="D10" s="181" t="n"/>
      <c r="E10" s="180" t="n"/>
      <c r="F10" s="181" t="n"/>
      <c r="G10" s="183" t="n"/>
      <c r="H10" s="176" t="n"/>
      <c r="I10" s="176" t="n"/>
      <c r="J10" s="176" t="n"/>
      <c r="K10" s="176" t="n"/>
      <c r="L10" s="181" t="n"/>
      <c r="M10" s="85" t="n"/>
      <c r="N10" s="176" t="n"/>
      <c r="O10" s="194" t="n"/>
      <c r="P10" s="195" t="n"/>
      <c r="Q10" s="195" t="n"/>
      <c r="R10" s="196" t="n"/>
    </row>
    <row r="11" ht="22.9" customHeight="1" thickBot="1">
      <c r="A11" s="66" t="inlineStr">
        <is>
          <t>NETSUITE INVOICE NO:</t>
        </is>
      </c>
      <c r="B11" s="176" t="n"/>
      <c r="C11" s="183" t="n"/>
      <c r="D11" s="181" t="n"/>
      <c r="E11" s="180" t="inlineStr">
        <is>
          <t>NETSUITE AGEING REPORT:</t>
        </is>
      </c>
      <c r="F11" s="181" t="n"/>
      <c r="G11" s="183" t="n"/>
      <c r="H11" s="176" t="n"/>
      <c r="I11" s="176" t="n"/>
      <c r="J11" s="176" t="n"/>
      <c r="K11" s="176" t="n"/>
      <c r="L11" s="181" t="n"/>
      <c r="M11" s="85" t="n"/>
      <c r="N11" s="176" t="n"/>
      <c r="O11" s="197" t="n"/>
      <c r="P11" s="195" t="n"/>
      <c r="Q11" s="195" t="n"/>
      <c r="R11" s="196" t="n"/>
    </row>
    <row r="12" ht="22.15" customHeight="1" thickBot="1">
      <c r="A12" s="66" t="inlineStr">
        <is>
          <t>PENDING PAYMENT</t>
        </is>
      </c>
      <c r="B12" s="176" t="n"/>
      <c r="C12" s="198" t="n"/>
      <c r="D12" s="181" t="n"/>
      <c r="E12" s="180" t="n"/>
      <c r="F12" s="181" t="n"/>
      <c r="G12" s="183" t="n"/>
      <c r="H12" s="176" t="n"/>
      <c r="I12" s="176" t="n"/>
      <c r="J12" s="176" t="n"/>
      <c r="K12" s="176" t="n"/>
      <c r="L12" s="181" t="n"/>
      <c r="M12" s="85" t="n"/>
      <c r="N12" s="176" t="n"/>
      <c r="O12" s="199" t="n"/>
      <c r="P12" s="176" t="n"/>
      <c r="Q12" s="176" t="n"/>
      <c r="R12" s="181" t="n"/>
    </row>
    <row r="13" ht="33" customHeight="1" thickBot="1">
      <c r="A13" s="200" t="n"/>
      <c r="B13" s="176" t="n"/>
      <c r="C13" s="176" t="n"/>
      <c r="D13" s="176" t="n"/>
      <c r="E13" s="176" t="n"/>
      <c r="F13" s="181" t="n"/>
      <c r="G13" s="200" t="inlineStr">
        <is>
          <t>COST AT OFFER ACCEPTANCE AS PER ESTIMATION</t>
        </is>
      </c>
      <c r="H13" s="176" t="n"/>
      <c r="I13" s="176" t="n"/>
      <c r="J13" s="176" t="n"/>
      <c r="K13" s="176" t="n"/>
      <c r="L13" s="181" t="n"/>
      <c r="M13" s="200" t="inlineStr">
        <is>
          <t>ACTUAL MANUFACTURING COST</t>
        </is>
      </c>
      <c r="N13" s="176" t="n"/>
      <c r="O13" s="176" t="n"/>
      <c r="P13" s="176" t="n"/>
      <c r="Q13" s="176" t="n"/>
      <c r="R13" s="181" t="n"/>
    </row>
    <row r="14" ht="24" customHeight="1" thickBot="1">
      <c r="A14" s="8" t="inlineStr">
        <is>
          <t>Sr No</t>
        </is>
      </c>
      <c r="B14" s="201" t="inlineStr">
        <is>
          <t>Item Description</t>
        </is>
      </c>
      <c r="C14" s="176" t="n"/>
      <c r="D14" s="176" t="n"/>
      <c r="E14" s="176" t="n"/>
      <c r="F14" s="181" t="n"/>
      <c r="G14" s="10" t="inlineStr">
        <is>
          <t>Qty</t>
        </is>
      </c>
      <c r="H14" s="10" t="inlineStr">
        <is>
          <t>Unit</t>
        </is>
      </c>
      <c r="I14" s="10" t="inlineStr">
        <is>
          <t>Manhours</t>
        </is>
      </c>
      <c r="J14" s="10" t="inlineStr">
        <is>
          <t>Unit cost</t>
        </is>
      </c>
      <c r="K14" s="10" t="inlineStr">
        <is>
          <t>Total cost</t>
        </is>
      </c>
      <c r="L14" s="125" t="inlineStr">
        <is>
          <t xml:space="preserve">Remarks </t>
        </is>
      </c>
      <c r="M14" s="10" t="inlineStr">
        <is>
          <t>Qty</t>
        </is>
      </c>
      <c r="N14" s="10" t="inlineStr">
        <is>
          <t>Unit</t>
        </is>
      </c>
      <c r="O14" s="10" t="inlineStr">
        <is>
          <t>Unit cost</t>
        </is>
      </c>
      <c r="P14" s="10" t="inlineStr">
        <is>
          <t>Total cost</t>
        </is>
      </c>
      <c r="Q14" s="201" t="inlineStr">
        <is>
          <t>Remarks</t>
        </is>
      </c>
      <c r="R14" s="181" t="n"/>
    </row>
    <row r="15" ht="15" customHeight="1">
      <c r="A15" s="11" t="n"/>
      <c r="B15" s="126" t="inlineStr">
        <is>
          <t>Structural Work</t>
        </is>
      </c>
      <c r="C15" s="202" t="n"/>
      <c r="D15" s="202" t="n"/>
      <c r="E15" s="202" t="n"/>
      <c r="F15" s="202" t="n"/>
      <c r="G15" s="203" t="n"/>
      <c r="H15" s="13" t="n"/>
      <c r="I15" s="13" t="n"/>
      <c r="J15" s="14" t="n"/>
      <c r="K15" s="15" t="n"/>
      <c r="L15" s="16" t="n"/>
      <c r="M15" s="17" t="n"/>
      <c r="N15" s="18" t="n"/>
      <c r="O15" s="18" t="n"/>
      <c r="P15" s="18" t="n"/>
      <c r="Q15" s="27" t="n"/>
      <c r="R15" s="204" t="n"/>
    </row>
    <row r="16" ht="14.45" customHeight="1">
      <c r="A16" s="11" t="n">
        <v>1</v>
      </c>
      <c r="B16" s="116" t="inlineStr">
        <is>
          <t>Design, Drafting &amp; Drawing Charges</t>
        </is>
      </c>
      <c r="C16" s="205" t="n"/>
      <c r="D16" s="205" t="n"/>
      <c r="E16" s="205" t="n"/>
      <c r="F16" s="205" t="n"/>
      <c r="G16" s="206" t="n"/>
      <c r="H16" s="24" t="inlineStr">
        <is>
          <t>lot</t>
        </is>
      </c>
      <c r="I16" s="24" t="n"/>
      <c r="J16" s="25" t="n"/>
      <c r="K16" s="26">
        <f>G16*J16</f>
        <v/>
      </c>
      <c r="L16" s="27" t="n"/>
      <c r="M16" s="17" t="n"/>
      <c r="N16" s="18" t="n"/>
      <c r="O16" s="18" t="n"/>
      <c r="P16" s="18" t="n"/>
      <c r="Q16" s="27" t="n"/>
      <c r="R16" s="204" t="n"/>
    </row>
    <row r="17" ht="14.45" customHeight="1">
      <c r="A17" s="11" t="n">
        <v>1.1</v>
      </c>
      <c r="B17" s="116" t="inlineStr">
        <is>
          <t>Gaps in customer design</t>
        </is>
      </c>
      <c r="C17" s="205" t="n"/>
      <c r="D17" s="205" t="n"/>
      <c r="E17" s="205" t="n"/>
      <c r="F17" s="205" t="n"/>
      <c r="G17" s="206" t="n"/>
      <c r="H17" s="24" t="inlineStr">
        <is>
          <t>lot</t>
        </is>
      </c>
      <c r="I17" s="24" t="n"/>
      <c r="J17" s="25" t="n"/>
      <c r="K17" s="26">
        <f>G17*J17</f>
        <v/>
      </c>
      <c r="L17" s="27" t="n"/>
      <c r="M17" s="17" t="n"/>
      <c r="N17" s="18" t="n"/>
      <c r="O17" s="18" t="n"/>
      <c r="P17" s="18" t="n"/>
      <c r="Q17" s="27" t="n"/>
      <c r="R17" s="204" t="n"/>
    </row>
    <row r="18" ht="14.45" customHeight="1">
      <c r="A18" s="11" t="n">
        <v>2</v>
      </c>
      <c r="B18" s="116" t="inlineStr">
        <is>
          <t>BOM/BOQ Preparation</t>
        </is>
      </c>
      <c r="C18" s="205" t="n"/>
      <c r="D18" s="205" t="n"/>
      <c r="E18" s="205" t="n"/>
      <c r="F18" s="205" t="n"/>
      <c r="G18" s="206" t="n"/>
      <c r="H18" s="24" t="inlineStr">
        <is>
          <t>lot</t>
        </is>
      </c>
      <c r="I18" s="24" t="n"/>
      <c r="J18" s="25" t="n"/>
      <c r="K18" s="26">
        <f>G18*J18</f>
        <v/>
      </c>
      <c r="L18" s="27" t="n"/>
      <c r="M18" s="17" t="n"/>
      <c r="N18" s="18" t="n"/>
      <c r="O18" s="18" t="n"/>
      <c r="P18" s="18" t="n"/>
      <c r="Q18" s="27" t="n"/>
      <c r="R18" s="204" t="n"/>
    </row>
    <row r="19" ht="14.45" customHeight="1">
      <c r="A19" s="11" t="n">
        <v>2.1</v>
      </c>
      <c r="B19" s="116" t="inlineStr">
        <is>
          <t>Changes in BOM due to Design change</t>
        </is>
      </c>
      <c r="C19" s="205" t="n"/>
      <c r="D19" s="205" t="n"/>
      <c r="E19" s="205" t="n"/>
      <c r="F19" s="205" t="n"/>
      <c r="G19" s="206" t="n"/>
      <c r="H19" s="24" t="inlineStr">
        <is>
          <t>lot</t>
        </is>
      </c>
      <c r="I19" s="24" t="n"/>
      <c r="J19" s="25" t="n"/>
      <c r="K19" s="26">
        <f>G19*J19</f>
        <v/>
      </c>
      <c r="L19" s="27" t="n"/>
      <c r="M19" s="17" t="n"/>
      <c r="N19" s="18" t="n"/>
      <c r="O19" s="18" t="n"/>
      <c r="P19" s="18" t="n"/>
      <c r="Q19" s="27" t="n"/>
      <c r="R19" s="204" t="n"/>
    </row>
    <row r="20">
      <c r="A20" s="11" t="n">
        <v>3</v>
      </c>
      <c r="B20" s="116" t="inlineStr">
        <is>
          <t>Technical recommendations to customer</t>
        </is>
      </c>
      <c r="C20" s="205" t="n"/>
      <c r="D20" s="205" t="n"/>
      <c r="E20" s="205" t="n"/>
      <c r="F20" s="205" t="n"/>
      <c r="G20" s="206" t="n"/>
      <c r="H20" s="24" t="inlineStr">
        <is>
          <t>lot</t>
        </is>
      </c>
      <c r="I20" s="24" t="n"/>
      <c r="J20" s="25" t="n"/>
      <c r="K20" s="26">
        <f>G20*J20</f>
        <v/>
      </c>
      <c r="L20" s="27" t="n"/>
      <c r="M20" s="17" t="n"/>
      <c r="N20" s="18" t="n"/>
      <c r="O20" s="18" t="n"/>
      <c r="P20" s="18" t="n"/>
      <c r="Q20" s="27" t="n"/>
      <c r="R20" s="204" t="n"/>
    </row>
    <row r="21" ht="15" customHeight="1" thickBot="1">
      <c r="A21" s="11" t="n">
        <v>4</v>
      </c>
      <c r="B21" s="116" t="inlineStr">
        <is>
          <t>Gaps in our estimation</t>
        </is>
      </c>
      <c r="C21" s="205" t="n"/>
      <c r="D21" s="205" t="n"/>
      <c r="E21" s="205" t="n"/>
      <c r="F21" s="205" t="n"/>
      <c r="G21" s="206" t="n"/>
      <c r="H21" s="24" t="inlineStr">
        <is>
          <t>lot</t>
        </is>
      </c>
      <c r="I21" s="24" t="n"/>
      <c r="J21" s="25" t="n"/>
      <c r="K21" s="26">
        <f>G21*J21</f>
        <v/>
      </c>
      <c r="L21" s="27" t="n"/>
      <c r="M21" s="17" t="n"/>
      <c r="N21" s="18" t="n"/>
      <c r="O21" s="18" t="n"/>
      <c r="P21" s="18" t="n"/>
      <c r="Q21" s="27" t="n"/>
      <c r="R21" s="204" t="n"/>
    </row>
    <row r="22" ht="15" customHeight="1">
      <c r="A22" s="11" t="n">
        <v>5</v>
      </c>
      <c r="B22" s="207" t="inlineStr">
        <is>
          <t xml:space="preserve">Material Cost </t>
        </is>
      </c>
      <c r="C22" s="202" t="n"/>
      <c r="D22" s="202" t="n"/>
      <c r="E22" s="202" t="n"/>
      <c r="F22" s="208" t="n"/>
      <c r="G22" s="209" t="n"/>
      <c r="H22" s="24" t="n"/>
      <c r="I22" s="24" t="n"/>
      <c r="J22" s="25" t="n"/>
      <c r="K22" s="26">
        <f>G22*J22</f>
        <v/>
      </c>
      <c r="L22" s="27" t="n"/>
      <c r="M22" s="17" t="n"/>
      <c r="N22" s="18" t="n"/>
      <c r="O22" s="18" t="n"/>
      <c r="P22" s="18" t="n"/>
      <c r="Q22" s="27" t="n"/>
      <c r="R22" s="204" t="n"/>
    </row>
    <row r="23" ht="15" customHeight="1">
      <c r="A23" s="28" t="n">
        <v>5.1</v>
      </c>
      <c r="B23" s="131" t="inlineStr">
        <is>
          <t>Structural Steel Material</t>
        </is>
      </c>
      <c r="C23" s="205" t="n"/>
      <c r="D23" s="205" t="n"/>
      <c r="E23" s="205" t="n"/>
      <c r="F23" s="210" t="n"/>
      <c r="G23" s="211" t="n">
        <v>1842.6</v>
      </c>
      <c r="H23" s="24" t="inlineStr">
        <is>
          <t>Kg</t>
        </is>
      </c>
      <c r="I23" s="24" t="n"/>
      <c r="J23" s="25" t="n">
        <v>3.5</v>
      </c>
      <c r="K23" s="26">
        <f>G23*J23</f>
        <v/>
      </c>
      <c r="L23" s="27" t="n"/>
      <c r="M23" s="17" t="n"/>
      <c r="N23" s="18" t="n"/>
      <c r="O23" s="18" t="n"/>
      <c r="P23" s="18" t="n"/>
      <c r="Q23" s="27" t="n"/>
      <c r="R23" s="204" t="n"/>
    </row>
    <row r="24" ht="15" customHeight="1">
      <c r="A24" s="29" t="n">
        <v>5.2</v>
      </c>
      <c r="B24" s="131" t="inlineStr">
        <is>
          <t>M20x90 Long Bolts HEX HD</t>
        </is>
      </c>
      <c r="C24" s="205" t="n"/>
      <c r="D24" s="205" t="n"/>
      <c r="E24" s="205" t="n"/>
      <c r="F24" s="210" t="n"/>
      <c r="G24" s="211" t="n">
        <v>72</v>
      </c>
      <c r="H24" s="24" t="inlineStr">
        <is>
          <t>Nos</t>
        </is>
      </c>
      <c r="I24" s="24" t="n"/>
      <c r="J24" s="25" t="n">
        <v>12.5</v>
      </c>
      <c r="K24" s="26">
        <f>G24*J24</f>
        <v/>
      </c>
      <c r="L24" s="27" t="n"/>
      <c r="M24" s="17" t="n"/>
      <c r="N24" s="18" t="n"/>
      <c r="O24" s="18" t="n"/>
      <c r="P24" s="18" t="n"/>
      <c r="Q24" s="118" t="n"/>
      <c r="R24" s="119" t="n"/>
    </row>
    <row r="25" ht="15" customHeight="1" thickBot="1">
      <c r="A25" s="50" t="n">
        <v>5.3</v>
      </c>
      <c r="B25" s="212" t="inlineStr">
        <is>
          <t>Paint Material</t>
        </is>
      </c>
      <c r="C25" s="213" t="n"/>
      <c r="D25" s="213" t="n"/>
      <c r="E25" s="213" t="n"/>
      <c r="F25" s="214" t="n"/>
      <c r="G25" s="211" t="n">
        <v>27.8</v>
      </c>
      <c r="H25" s="24" t="inlineStr">
        <is>
          <t>litres</t>
        </is>
      </c>
      <c r="I25" s="24" t="n"/>
      <c r="J25" s="25" t="n">
        <v>21</v>
      </c>
      <c r="K25" s="26">
        <f>G25*J25</f>
        <v/>
      </c>
      <c r="L25" s="27" t="n"/>
      <c r="M25" s="215" t="n"/>
      <c r="N25" s="18" t="n"/>
      <c r="O25" s="18" t="n"/>
      <c r="P25" s="18" t="n"/>
      <c r="Q25" s="118" t="n"/>
      <c r="R25" s="119" t="n"/>
    </row>
    <row r="26" ht="15" customHeight="1">
      <c r="A26" s="11" t="n">
        <v>6</v>
      </c>
      <c r="B26" s="207" t="inlineStr">
        <is>
          <t>Material Inspection Charges</t>
        </is>
      </c>
      <c r="C26" s="202" t="n"/>
      <c r="D26" s="202" t="n"/>
      <c r="E26" s="202" t="n"/>
      <c r="F26" s="208" t="n"/>
      <c r="G26" s="206" t="n"/>
      <c r="H26" s="24" t="inlineStr">
        <is>
          <t>lot</t>
        </is>
      </c>
      <c r="I26" s="24" t="n"/>
      <c r="J26" s="25" t="n"/>
      <c r="K26" s="26">
        <f>G26*J26</f>
        <v/>
      </c>
      <c r="L26" s="27" t="n"/>
      <c r="M26" s="17" t="n"/>
      <c r="N26" s="18" t="n"/>
      <c r="O26" s="18" t="n"/>
      <c r="P26" s="18" t="n"/>
      <c r="Q26" s="27" t="n"/>
      <c r="R26" s="204" t="n"/>
    </row>
    <row r="27" ht="15" customHeight="1">
      <c r="A27" s="11" t="n"/>
      <c r="B27" s="53" t="n"/>
      <c r="C27" s="54" t="n"/>
      <c r="D27" s="54" t="n"/>
      <c r="E27" s="54" t="n"/>
      <c r="F27" s="55" t="n"/>
      <c r="G27" s="206" t="n"/>
      <c r="H27" s="24" t="n"/>
      <c r="I27" s="24" t="n"/>
      <c r="J27" s="25" t="n"/>
      <c r="K27" s="26">
        <f>G27*J27</f>
        <v/>
      </c>
      <c r="L27" s="27" t="n"/>
      <c r="M27" s="17" t="n"/>
      <c r="N27" s="18" t="n"/>
      <c r="O27" s="18" t="n"/>
      <c r="P27" s="18" t="n"/>
      <c r="Q27" s="118" t="n"/>
      <c r="R27" s="119" t="n"/>
    </row>
    <row r="28">
      <c r="A28" s="11" t="n">
        <v>7</v>
      </c>
      <c r="B28" s="216" t="inlineStr">
        <is>
          <t>Labour &amp; Fabrication Cost</t>
        </is>
      </c>
      <c r="C28" s="205" t="n"/>
      <c r="D28" s="205" t="n"/>
      <c r="E28" s="205" t="n"/>
      <c r="F28" s="204" t="n"/>
      <c r="G28" s="206" t="n"/>
      <c r="H28" s="24" t="n"/>
      <c r="I28" s="24" t="n"/>
      <c r="J28" s="25" t="n"/>
      <c r="K28" s="26">
        <f>G28*J28</f>
        <v/>
      </c>
      <c r="L28" s="27" t="n"/>
      <c r="M28" s="17" t="n"/>
      <c r="N28" s="18" t="n"/>
      <c r="O28" s="18" t="n"/>
      <c r="P28" s="18" t="n"/>
      <c r="Q28" s="118" t="n"/>
      <c r="R28" s="119" t="n"/>
    </row>
    <row r="29" ht="15" customHeight="1">
      <c r="A29" s="29" t="n">
        <v>7.1</v>
      </c>
      <c r="B29" s="217" t="inlineStr">
        <is>
          <t>Structural Welding Labour</t>
        </is>
      </c>
      <c r="C29" s="205" t="n"/>
      <c r="D29" s="205" t="n"/>
      <c r="E29" s="205" t="n"/>
      <c r="F29" s="204" t="n"/>
      <c r="G29" s="209" t="n"/>
      <c r="H29" s="24" t="inlineStr">
        <is>
          <t>Hrs</t>
        </is>
      </c>
      <c r="I29" s="218" t="n">
        <v>148</v>
      </c>
      <c r="J29" s="31" t="n">
        <v>45</v>
      </c>
      <c r="K29" s="26">
        <f>I29*J29</f>
        <v/>
      </c>
      <c r="L29" s="27" t="n"/>
      <c r="M29" s="17" t="n"/>
      <c r="N29" s="18" t="n"/>
      <c r="O29" s="18" t="n"/>
      <c r="P29" s="18" t="n"/>
      <c r="Q29" s="118" t="n"/>
      <c r="R29" s="119" t="n"/>
      <c r="S29" s="172">
        <f>230000/30/30*(I29/8)</f>
        <v/>
      </c>
    </row>
    <row r="30" ht="15" customHeight="1">
      <c r="A30" s="29" t="n">
        <v>7.2</v>
      </c>
      <c r="B30" s="217" t="inlineStr">
        <is>
          <t>Structural Fabrication Labour</t>
        </is>
      </c>
      <c r="C30" s="205" t="n"/>
      <c r="D30" s="205" t="n"/>
      <c r="E30" s="205" t="n"/>
      <c r="F30" s="204" t="n"/>
      <c r="G30" s="209" t="n"/>
      <c r="H30" s="24" t="inlineStr">
        <is>
          <t>Hrs</t>
        </is>
      </c>
      <c r="I30" s="218" t="n">
        <v>296</v>
      </c>
      <c r="J30" s="31" t="n">
        <v>45</v>
      </c>
      <c r="K30" s="26">
        <f>I30*J30</f>
        <v/>
      </c>
      <c r="L30" s="27" t="n"/>
      <c r="M30" s="17" t="n"/>
      <c r="N30" s="18" t="n"/>
      <c r="O30" s="18" t="n"/>
      <c r="P30" s="18" t="n"/>
      <c r="Q30" s="118" t="n"/>
      <c r="R30" s="119" t="n"/>
      <c r="S30" s="172">
        <f>230000/30/30*(I30/8)</f>
        <v/>
      </c>
    </row>
    <row r="31" ht="15" customHeight="1">
      <c r="A31" s="29" t="n">
        <v>7.3</v>
      </c>
      <c r="B31" s="140" t="inlineStr">
        <is>
          <t xml:space="preserve">Hydrotesting </t>
        </is>
      </c>
      <c r="C31" s="219" t="n"/>
      <c r="D31" s="219" t="n"/>
      <c r="E31" s="219" t="n"/>
      <c r="F31" s="219" t="n"/>
      <c r="G31" s="220" t="n"/>
      <c r="H31" s="24" t="inlineStr">
        <is>
          <t>Inch Dia</t>
        </is>
      </c>
      <c r="I31" s="221" t="n"/>
      <c r="J31" s="31" t="n">
        <v>11</v>
      </c>
      <c r="K31" s="26">
        <f>I31*J31</f>
        <v/>
      </c>
      <c r="L31" s="27" t="n"/>
      <c r="M31" s="17" t="n"/>
      <c r="N31" s="18" t="n"/>
      <c r="O31" s="18" t="n"/>
      <c r="P31" s="18" t="n"/>
      <c r="Q31" s="118" t="n"/>
      <c r="R31" s="119" t="n"/>
      <c r="S31" s="172">
        <f>230000/30/30*(I32/8)</f>
        <v/>
      </c>
    </row>
    <row r="32" ht="15" customHeight="1">
      <c r="A32" s="29" t="n">
        <v>7.4</v>
      </c>
      <c r="B32" s="136" t="inlineStr">
        <is>
          <t>Machining 8 labour hours per day for 4 days</t>
        </is>
      </c>
      <c r="C32" s="205" t="n"/>
      <c r="D32" s="205" t="n"/>
      <c r="E32" s="205" t="n"/>
      <c r="F32" s="205" t="n"/>
      <c r="G32" s="206" t="n"/>
      <c r="H32" s="24" t="inlineStr">
        <is>
          <t>Kg</t>
        </is>
      </c>
      <c r="I32" s="24" t="n"/>
      <c r="J32" s="31" t="n">
        <v>9.5</v>
      </c>
      <c r="K32" s="26">
        <f>I32*J32</f>
        <v/>
      </c>
      <c r="L32" s="27" t="n"/>
      <c r="M32" s="17" t="n"/>
      <c r="N32" s="18" t="n"/>
      <c r="O32" s="18" t="n"/>
      <c r="P32" s="18" t="n"/>
      <c r="Q32" s="118" t="n"/>
      <c r="R32" s="119" t="n"/>
    </row>
    <row r="33">
      <c r="A33" s="11" t="n">
        <v>8</v>
      </c>
      <c r="B33" s="32" t="inlineStr">
        <is>
          <t>Consumables</t>
        </is>
      </c>
      <c r="C33" s="33" t="n"/>
      <c r="D33" s="33" t="n"/>
      <c r="E33" s="33" t="n"/>
      <c r="F33" s="33" t="n"/>
      <c r="G33" s="206" t="n"/>
      <c r="H33" s="24" t="inlineStr">
        <is>
          <t>lot</t>
        </is>
      </c>
      <c r="I33" s="24" t="n"/>
      <c r="J33" s="25">
        <f>D58/20</f>
        <v/>
      </c>
      <c r="K33" s="26">
        <f>G33*J33</f>
        <v/>
      </c>
      <c r="L33" s="27" t="n"/>
      <c r="M33" s="17" t="n"/>
      <c r="N33" s="18" t="n"/>
      <c r="O33" s="18" t="n"/>
      <c r="P33" s="18" t="n"/>
      <c r="Q33" s="118" t="n"/>
      <c r="R33" s="119" t="n"/>
    </row>
    <row r="34">
      <c r="A34" s="11" t="n">
        <v>9</v>
      </c>
      <c r="B34" s="116" t="inlineStr">
        <is>
          <t>Subcontractor Costing</t>
        </is>
      </c>
      <c r="C34" s="205" t="n"/>
      <c r="D34" s="205" t="n"/>
      <c r="E34" s="205" t="n"/>
      <c r="F34" s="205" t="n"/>
      <c r="G34" s="206" t="n"/>
      <c r="H34" s="24" t="n"/>
      <c r="I34" s="24" t="n"/>
      <c r="J34" s="25" t="n"/>
      <c r="K34" s="26">
        <f>G34*J34</f>
        <v/>
      </c>
      <c r="L34" s="27" t="n"/>
      <c r="M34" s="17" t="n"/>
      <c r="N34" s="18" t="n"/>
      <c r="O34" s="18" t="n"/>
      <c r="P34" s="18" t="n"/>
      <c r="Q34" s="118" t="n"/>
      <c r="R34" s="119" t="n"/>
    </row>
    <row r="35">
      <c r="A35" s="29" t="n">
        <v>9.1</v>
      </c>
      <c r="B35" s="136" t="inlineStr">
        <is>
          <t>Machining &amp; Threading</t>
        </is>
      </c>
      <c r="C35" s="205" t="n"/>
      <c r="D35" s="205" t="n"/>
      <c r="E35" s="205" t="n"/>
      <c r="F35" s="205" t="n"/>
      <c r="G35" s="206" t="n"/>
      <c r="H35" s="24" t="inlineStr">
        <is>
          <t>Pcs</t>
        </is>
      </c>
      <c r="I35" s="24" t="n"/>
      <c r="J35" s="25" t="n">
        <v>65</v>
      </c>
      <c r="K35" s="26">
        <f>G35*J35</f>
        <v/>
      </c>
      <c r="L35" s="27" t="n"/>
      <c r="M35" s="17" t="n"/>
      <c r="N35" s="18" t="n"/>
      <c r="O35" s="18" t="n"/>
      <c r="P35" s="18" t="n"/>
      <c r="Q35" s="118" t="n"/>
      <c r="R35" s="119" t="n"/>
      <c r="T35" s="222" t="n"/>
    </row>
    <row r="36">
      <c r="A36" s="11" t="n">
        <v>10</v>
      </c>
      <c r="B36" s="116" t="inlineStr">
        <is>
          <t>Testing &amp; Quality Control</t>
        </is>
      </c>
      <c r="C36" s="205" t="n"/>
      <c r="D36" s="205" t="n"/>
      <c r="E36" s="205" t="n"/>
      <c r="F36" s="205" t="n"/>
      <c r="G36" s="220" t="n"/>
      <c r="H36" s="35" t="n"/>
      <c r="I36" s="35" t="n"/>
      <c r="J36" s="31" t="n"/>
      <c r="K36" s="26">
        <f>G36*J36</f>
        <v/>
      </c>
      <c r="L36" s="27" t="n"/>
      <c r="M36" s="17" t="n"/>
      <c r="N36" s="18" t="n"/>
      <c r="O36" s="18" t="n"/>
      <c r="P36" s="18" t="n"/>
      <c r="Q36" s="118" t="n"/>
      <c r="R36" s="119" t="n"/>
      <c r="T36" s="222" t="n"/>
    </row>
    <row r="37" ht="15" customHeight="1">
      <c r="A37" s="29" t="n">
        <v>10.1</v>
      </c>
      <c r="B37" s="217" t="inlineStr">
        <is>
          <t>10% MPI/DPT</t>
        </is>
      </c>
      <c r="C37" s="205" t="n"/>
      <c r="D37" s="205" t="n"/>
      <c r="E37" s="205" t="n"/>
      <c r="F37" s="204" t="n"/>
      <c r="G37" s="220" t="n"/>
      <c r="H37" s="35" t="inlineStr">
        <is>
          <t>Visits</t>
        </is>
      </c>
      <c r="I37" s="24" t="n"/>
      <c r="J37" s="31" t="n">
        <v>600</v>
      </c>
      <c r="K37" s="26">
        <f>G37*J37</f>
        <v/>
      </c>
      <c r="L37" s="27" t="n"/>
      <c r="M37" s="17" t="n"/>
      <c r="N37" s="18" t="n"/>
      <c r="O37" s="18" t="n"/>
      <c r="P37" s="18" t="n"/>
      <c r="Q37" s="118" t="n"/>
      <c r="R37" s="119" t="n"/>
    </row>
    <row r="38" ht="15" customHeight="1">
      <c r="A38" s="11" t="n">
        <v>11</v>
      </c>
      <c r="B38" s="116" t="inlineStr">
        <is>
          <t>Surface Preparation &amp; Coating</t>
        </is>
      </c>
      <c r="C38" s="205" t="n"/>
      <c r="D38" s="205" t="n"/>
      <c r="E38" s="205" t="n"/>
      <c r="F38" s="205" t="n"/>
      <c r="G38" s="206" t="n"/>
      <c r="H38" s="24" t="n"/>
      <c r="I38" s="24" t="n"/>
      <c r="J38" s="31" t="n"/>
      <c r="K38" s="26">
        <f>G38*J38</f>
        <v/>
      </c>
      <c r="L38" s="27" t="n"/>
      <c r="M38" s="17" t="n"/>
      <c r="N38" s="18" t="n"/>
      <c r="O38" s="18" t="n"/>
      <c r="P38" s="18" t="n"/>
      <c r="Q38" s="118" t="n"/>
      <c r="R38" s="119" t="n"/>
    </row>
    <row r="39" ht="15" customHeight="1">
      <c r="A39" s="29" t="n">
        <v>11.1</v>
      </c>
      <c r="B39" s="136" t="inlineStr">
        <is>
          <t>Galvanizing Work</t>
        </is>
      </c>
      <c r="C39" s="205" t="n"/>
      <c r="D39" s="205" t="n"/>
      <c r="E39" s="205" t="n"/>
      <c r="F39" s="205" t="n"/>
      <c r="G39" s="206" t="inlineStr"/>
      <c r="H39" s="24" t="inlineStr">
        <is>
          <t>Kg</t>
        </is>
      </c>
      <c r="I39" s="24" t="n"/>
      <c r="J39" s="25" t="n">
        <v>2</v>
      </c>
      <c r="K39" s="26">
        <f>G39*J39</f>
        <v/>
      </c>
      <c r="L39" s="27" t="n"/>
      <c r="M39" s="17" t="n"/>
      <c r="N39" s="18" t="n"/>
      <c r="O39" s="18" t="n"/>
      <c r="P39" s="18" t="n"/>
      <c r="Q39" s="118" t="n"/>
      <c r="R39" s="119" t="n"/>
      <c r="S39" s="172">
        <f>230000/30/30*(I40/8)</f>
        <v/>
      </c>
    </row>
    <row r="40" ht="24" customHeight="1">
      <c r="A40" s="29" t="n">
        <v>11.2</v>
      </c>
      <c r="B40" s="142" t="inlineStr">
        <is>
          <t>Blasting (185.0 Sq M)</t>
        </is>
      </c>
      <c r="C40" s="205" t="n"/>
      <c r="D40" s="205" t="n"/>
      <c r="E40" s="205" t="n"/>
      <c r="F40" s="205" t="n"/>
      <c r="G40" s="223" t="n">
        <v>185</v>
      </c>
      <c r="H40" s="35" t="inlineStr">
        <is>
          <t>SQM</t>
        </is>
      </c>
      <c r="I40" s="37" t="n"/>
      <c r="J40" s="31" t="n">
        <v>9</v>
      </c>
      <c r="K40" s="26">
        <f>G40*J40</f>
        <v/>
      </c>
      <c r="L40" s="27" t="n"/>
      <c r="M40" s="17" t="n"/>
      <c r="N40" s="18" t="n"/>
      <c r="O40" s="18" t="n"/>
      <c r="P40" s="18" t="n"/>
      <c r="Q40" s="118" t="n"/>
      <c r="R40" s="119" t="n"/>
      <c r="S40" s="172">
        <f>230000/30/30*(I41/8)</f>
        <v/>
      </c>
    </row>
    <row r="41">
      <c r="A41" s="29" t="n">
        <v>11.3</v>
      </c>
      <c r="B41" s="142" t="inlineStr">
        <is>
          <t>Painting (185.0 Sq M)</t>
        </is>
      </c>
      <c r="C41" s="205" t="n"/>
      <c r="D41" s="205" t="n"/>
      <c r="E41" s="205" t="n"/>
      <c r="F41" s="205" t="n"/>
      <c r="G41" s="223" t="n">
        <v>185</v>
      </c>
      <c r="H41" s="35" t="inlineStr">
        <is>
          <t>SQM</t>
        </is>
      </c>
      <c r="I41" s="37" t="n"/>
      <c r="J41" s="31" t="n">
        <v>11</v>
      </c>
      <c r="K41" s="26">
        <f>G41*J41</f>
        <v/>
      </c>
      <c r="L41" s="27" t="n"/>
      <c r="M41" s="17" t="n"/>
      <c r="N41" s="18" t="n"/>
      <c r="O41" s="18" t="n"/>
      <c r="P41" s="18" t="n"/>
      <c r="Q41" s="118" t="n"/>
      <c r="R41" s="119" t="n"/>
    </row>
    <row r="42" ht="15" customHeight="1">
      <c r="A42" s="11" t="n">
        <v>12</v>
      </c>
      <c r="B42" s="116" t="inlineStr">
        <is>
          <t>Third-Party Inspection (TPI)</t>
        </is>
      </c>
      <c r="C42" s="205" t="n"/>
      <c r="D42" s="205" t="n"/>
      <c r="E42" s="205" t="n"/>
      <c r="F42" s="205" t="n"/>
      <c r="G42" s="206" t="n"/>
      <c r="H42" s="24" t="inlineStr">
        <is>
          <t>lot</t>
        </is>
      </c>
      <c r="I42" s="24" t="n"/>
      <c r="J42" s="25" t="n"/>
      <c r="K42" s="26">
        <f>G42*J42</f>
        <v/>
      </c>
      <c r="L42" s="27" t="n"/>
      <c r="M42" s="17" t="n"/>
      <c r="N42" s="18" t="n"/>
      <c r="O42" s="18" t="n"/>
      <c r="P42" s="18" t="n"/>
      <c r="Q42" s="27" t="n"/>
      <c r="R42" s="204" t="n"/>
    </row>
    <row r="43" ht="15" customHeight="1">
      <c r="A43" s="11" t="n">
        <v>13</v>
      </c>
      <c r="B43" s="116" t="inlineStr">
        <is>
          <t>MPI / DPT Inspection (2 visits)</t>
        </is>
      </c>
      <c r="C43" s="205" t="n"/>
      <c r="D43" s="205" t="n"/>
      <c r="E43" s="205" t="n"/>
      <c r="F43" s="205" t="n"/>
      <c r="G43" s="224" t="n">
        <v>2</v>
      </c>
      <c r="H43" s="24" t="inlineStr">
        <is>
          <t>Visits</t>
        </is>
      </c>
      <c r="I43" s="24" t="n"/>
      <c r="J43" s="25" t="n">
        <v>600</v>
      </c>
      <c r="K43" s="26">
        <f>G43*J43</f>
        <v/>
      </c>
      <c r="L43" s="27" t="n"/>
      <c r="M43" s="17" t="n"/>
      <c r="N43" s="18" t="n"/>
      <c r="O43" s="18" t="n"/>
      <c r="P43" s="18" t="n"/>
      <c r="Q43" s="118" t="n"/>
      <c r="R43" s="119" t="n"/>
    </row>
    <row r="44">
      <c r="A44" s="11" t="n">
        <v>14</v>
      </c>
      <c r="B44" s="116" t="inlineStr">
        <is>
          <t>Packing and loading</t>
        </is>
      </c>
      <c r="C44" s="205" t="n"/>
      <c r="D44" s="205" t="n"/>
      <c r="E44" s="205" t="n"/>
      <c r="F44" s="205" t="n"/>
      <c r="G44" s="206" t="n"/>
      <c r="H44" s="24" t="inlineStr">
        <is>
          <t>Lot</t>
        </is>
      </c>
      <c r="I44" s="24" t="n"/>
      <c r="J44" s="25" t="n">
        <v>3000</v>
      </c>
      <c r="K44" s="26">
        <f>G44*J44</f>
        <v/>
      </c>
      <c r="L44" s="40" t="n"/>
      <c r="M44" s="17" t="n"/>
      <c r="N44" s="18" t="n"/>
      <c r="O44" s="18" t="n"/>
      <c r="P44" s="18" t="n"/>
      <c r="Q44" s="118" t="n"/>
      <c r="R44" s="119" t="n"/>
    </row>
    <row r="45">
      <c r="A45" s="11" t="n">
        <v>16</v>
      </c>
      <c r="B45" s="116" t="inlineStr">
        <is>
          <t>Insurance</t>
        </is>
      </c>
      <c r="C45" s="117" t="n"/>
      <c r="D45" s="117" t="n"/>
      <c r="E45" s="117" t="n"/>
      <c r="F45" s="117" t="n"/>
      <c r="G45" s="206" t="n"/>
      <c r="H45" s="24" t="inlineStr">
        <is>
          <t>lot</t>
        </is>
      </c>
      <c r="I45" s="24" t="n"/>
      <c r="J45" s="25" t="n"/>
      <c r="K45" s="26">
        <f>G45*J45</f>
        <v/>
      </c>
      <c r="L45" s="27" t="n"/>
      <c r="M45" s="17" t="n"/>
      <c r="N45" s="18" t="n"/>
      <c r="O45" s="18" t="n"/>
      <c r="P45" s="18" t="n"/>
      <c r="Q45" s="118" t="n"/>
      <c r="R45" s="119" t="n"/>
    </row>
    <row r="46">
      <c r="A46" s="11" t="n">
        <v>17</v>
      </c>
      <c r="B46" s="116" t="inlineStr">
        <is>
          <t>QA/QC Documentation &amp; NDT</t>
        </is>
      </c>
      <c r="C46" s="205" t="n"/>
      <c r="D46" s="205" t="n"/>
      <c r="E46" s="205" t="n"/>
      <c r="F46" s="205" t="n"/>
      <c r="G46" s="224" t="n">
        <v>1</v>
      </c>
      <c r="H46" s="24" t="inlineStr">
        <is>
          <t>Lot</t>
        </is>
      </c>
      <c r="I46" s="24" t="n"/>
      <c r="J46" s="25" t="n">
        <v>3000</v>
      </c>
      <c r="K46" s="26">
        <f>G46*J46</f>
        <v/>
      </c>
      <c r="L46" s="27" t="n"/>
      <c r="M46" s="17" t="n"/>
      <c r="N46" s="18" t="n"/>
      <c r="O46" s="18" t="n"/>
      <c r="P46" s="18" t="n"/>
      <c r="Q46" s="27" t="n"/>
      <c r="R46" s="204" t="n"/>
    </row>
    <row r="47">
      <c r="A47" s="11" t="n">
        <v>18</v>
      </c>
      <c r="B47" s="116" t="inlineStr">
        <is>
          <t>Packing &amp; Loading</t>
        </is>
      </c>
      <c r="C47" s="205" t="n"/>
      <c r="D47" s="205" t="n"/>
      <c r="E47" s="205" t="n"/>
      <c r="F47" s="205" t="n"/>
      <c r="G47" s="224" t="n">
        <v>1</v>
      </c>
      <c r="H47" s="24" t="inlineStr">
        <is>
          <t>Lot</t>
        </is>
      </c>
      <c r="I47" s="24" t="n"/>
      <c r="J47" s="25" t="n">
        <v>3000</v>
      </c>
      <c r="K47" s="26">
        <f>G47*J47</f>
        <v/>
      </c>
      <c r="L47" s="27" t="n"/>
      <c r="M47" s="17" t="n"/>
      <c r="N47" s="18" t="n"/>
      <c r="O47" s="18" t="n"/>
      <c r="P47" s="18" t="n"/>
      <c r="Q47" s="27" t="n"/>
      <c r="R47" s="204" t="n"/>
    </row>
    <row r="48">
      <c r="A48" s="11" t="n">
        <v>20</v>
      </c>
      <c r="B48" s="116" t="inlineStr">
        <is>
          <t>Contingency Fund</t>
        </is>
      </c>
      <c r="C48" s="205" t="n"/>
      <c r="D48" s="205" t="n"/>
      <c r="E48" s="205" t="n"/>
      <c r="F48" s="205" t="n"/>
      <c r="G48" s="206" t="n"/>
      <c r="H48" s="24" t="inlineStr">
        <is>
          <t>lot</t>
        </is>
      </c>
      <c r="I48" s="24" t="n"/>
      <c r="J48" s="25" t="n"/>
      <c r="K48" s="26">
        <f>G48*J48</f>
        <v/>
      </c>
      <c r="L48" s="27" t="n"/>
      <c r="M48" s="17" t="n"/>
      <c r="N48" s="18" t="n"/>
      <c r="O48" s="18" t="n"/>
      <c r="P48" s="18" t="n"/>
      <c r="Q48" s="27" t="n"/>
      <c r="R48" s="204" t="n"/>
    </row>
    <row r="49">
      <c r="A49" s="11" t="n">
        <v>21</v>
      </c>
      <c r="B49" s="116" t="inlineStr">
        <is>
          <t>Taxes &amp; Duties</t>
        </is>
      </c>
      <c r="C49" s="205" t="n"/>
      <c r="D49" s="205" t="n"/>
      <c r="E49" s="205" t="n"/>
      <c r="F49" s="205" t="n"/>
      <c r="G49" s="206" t="n"/>
      <c r="H49" s="24" t="inlineStr">
        <is>
          <t>lot</t>
        </is>
      </c>
      <c r="I49" s="24" t="n"/>
      <c r="J49" s="25" t="n"/>
      <c r="K49" s="26">
        <f>G49*J49</f>
        <v/>
      </c>
      <c r="L49" s="27" t="n"/>
      <c r="M49" s="17" t="n"/>
      <c r="N49" s="18" t="n"/>
      <c r="O49" s="18" t="n"/>
      <c r="P49" s="18" t="n"/>
      <c r="Q49" s="27" t="n"/>
      <c r="R49" s="204" t="n"/>
    </row>
    <row r="50">
      <c r="A50" s="11" t="n">
        <v>22</v>
      </c>
      <c r="B50" s="116" t="inlineStr">
        <is>
          <t>Warranty &amp; Guarantee Costs</t>
        </is>
      </c>
      <c r="C50" s="205" t="n"/>
      <c r="D50" s="205" t="n"/>
      <c r="E50" s="205" t="n"/>
      <c r="F50" s="205" t="n"/>
      <c r="G50" s="206" t="n"/>
      <c r="H50" s="24" t="inlineStr">
        <is>
          <t>lot</t>
        </is>
      </c>
      <c r="I50" s="24" t="n"/>
      <c r="J50" s="25" t="n"/>
      <c r="K50" s="26">
        <f>G50*J50</f>
        <v/>
      </c>
      <c r="L50" s="27" t="n"/>
      <c r="M50" s="17" t="n"/>
      <c r="N50" s="18" t="n"/>
      <c r="O50" s="18" t="n"/>
      <c r="P50" s="18" t="n"/>
      <c r="Q50" s="27" t="n"/>
      <c r="R50" s="204" t="n"/>
    </row>
    <row r="51">
      <c r="A51" s="11" t="n">
        <v>23</v>
      </c>
      <c r="B51" s="116" t="inlineStr">
        <is>
          <t>Project Management Fees</t>
        </is>
      </c>
      <c r="C51" s="205" t="n"/>
      <c r="D51" s="205" t="n"/>
      <c r="E51" s="205" t="n"/>
      <c r="F51" s="205" t="n"/>
      <c r="G51" s="206" t="n"/>
      <c r="H51" s="24" t="inlineStr">
        <is>
          <t>lot</t>
        </is>
      </c>
      <c r="I51" s="24" t="n"/>
      <c r="J51" s="25" t="n"/>
      <c r="K51" s="26">
        <f>G51*J51</f>
        <v/>
      </c>
      <c r="L51" s="27" t="n"/>
      <c r="M51" s="17" t="n"/>
      <c r="N51" s="18" t="n"/>
      <c r="O51" s="18" t="n"/>
      <c r="P51" s="18" t="n"/>
      <c r="Q51" s="27" t="n"/>
      <c r="R51" s="204" t="n"/>
    </row>
    <row r="52">
      <c r="A52" s="11" t="n">
        <v>24</v>
      </c>
      <c r="B52" s="116" t="inlineStr">
        <is>
          <t>Environmental Compliance Costs</t>
        </is>
      </c>
      <c r="C52" s="205" t="n"/>
      <c r="D52" s="205" t="n"/>
      <c r="E52" s="205" t="n"/>
      <c r="F52" s="205" t="n"/>
      <c r="G52" s="206" t="n"/>
      <c r="H52" s="24" t="inlineStr">
        <is>
          <t>lot</t>
        </is>
      </c>
      <c r="I52" s="24" t="n"/>
      <c r="J52" s="25" t="n"/>
      <c r="K52" s="26">
        <f>G52*J52</f>
        <v/>
      </c>
      <c r="L52" s="27" t="n"/>
      <c r="M52" s="17" t="n"/>
      <c r="N52" s="18" t="n"/>
      <c r="O52" s="18" t="n"/>
      <c r="P52" s="18" t="n"/>
      <c r="Q52" s="27" t="n"/>
      <c r="R52" s="204" t="n"/>
    </row>
    <row r="53">
      <c r="A53" s="11" t="n">
        <v>25</v>
      </c>
      <c r="B53" s="116" t="inlineStr">
        <is>
          <t>Training &amp; Certification</t>
        </is>
      </c>
      <c r="C53" s="205" t="n"/>
      <c r="D53" s="205" t="n"/>
      <c r="E53" s="205" t="n"/>
      <c r="F53" s="205" t="n"/>
      <c r="G53" s="206" t="n"/>
      <c r="H53" s="24" t="inlineStr">
        <is>
          <t>lot</t>
        </is>
      </c>
      <c r="I53" s="24" t="n"/>
      <c r="J53" s="25" t="n"/>
      <c r="K53" s="26">
        <f>G53*J53</f>
        <v/>
      </c>
      <c r="L53" s="27" t="n"/>
      <c r="M53" s="17" t="n"/>
      <c r="N53" s="18" t="n"/>
      <c r="O53" s="18" t="n"/>
      <c r="P53" s="18" t="n"/>
      <c r="Q53" s="27" t="n"/>
      <c r="R53" s="204" t="n"/>
    </row>
    <row r="54" ht="24.6" customHeight="1" thickBot="1">
      <c r="A54" s="11" t="n">
        <v>26</v>
      </c>
      <c r="B54" s="116" t="inlineStr">
        <is>
          <t>Marketing &amp; Sales Costs</t>
        </is>
      </c>
      <c r="C54" s="205" t="n"/>
      <c r="D54" s="205" t="n"/>
      <c r="E54" s="205" t="n"/>
      <c r="F54" s="205" t="n"/>
      <c r="G54" s="206" t="n"/>
      <c r="H54" s="24" t="inlineStr">
        <is>
          <t>lot</t>
        </is>
      </c>
      <c r="I54" s="24" t="n"/>
      <c r="J54" s="38" t="n"/>
      <c r="K54" s="39">
        <f>G54*J54</f>
        <v/>
      </c>
      <c r="L54" s="40" t="n"/>
      <c r="M54" s="17" t="n"/>
      <c r="N54" s="18" t="n"/>
      <c r="O54" s="18" t="n"/>
      <c r="P54" s="18" t="n"/>
      <c r="Q54" s="27" t="n"/>
      <c r="R54" s="204" t="n"/>
      <c r="S54" s="172">
        <f>SUM(S15:S43)</f>
        <v/>
      </c>
    </row>
    <row r="55" ht="24.6" customHeight="1" thickBot="1">
      <c r="A55" s="150" t="inlineStr">
        <is>
          <t>Total cost</t>
        </is>
      </c>
      <c r="B55" s="174" t="n"/>
      <c r="C55" s="174" t="n"/>
      <c r="D55" s="225" t="n">
        <v>40076</v>
      </c>
      <c r="E55" s="174" t="n"/>
      <c r="F55" s="175" t="n"/>
      <c r="G55" s="155" t="inlineStr">
        <is>
          <t>ESTIMATION
 ENGR.</t>
        </is>
      </c>
      <c r="I55" s="155" t="n"/>
      <c r="J55" s="68" t="inlineStr">
        <is>
          <t>Sachin Ahire</t>
        </is>
      </c>
      <c r="K55" s="56" t="n"/>
      <c r="L55" s="73" t="n"/>
      <c r="M55" s="156" t="inlineStr">
        <is>
          <t>PLANNING
 ENGR.</t>
        </is>
      </c>
      <c r="N55" s="174" t="n"/>
      <c r="O55" s="174" t="n"/>
      <c r="P55" s="226" t="inlineStr">
        <is>
          <t>Sachin Ahire</t>
        </is>
      </c>
      <c r="Q55" s="174" t="n"/>
      <c r="R55" s="175" t="n"/>
    </row>
    <row r="56" ht="24.6" customHeight="1" thickBot="1">
      <c r="A56" s="144" t="inlineStr">
        <is>
          <t xml:space="preserve">19.Overheads </t>
        </is>
      </c>
      <c r="B56" s="176" t="n"/>
      <c r="C56" s="176" t="n"/>
      <c r="D56" s="227" t="n">
        <v>4809.12</v>
      </c>
      <c r="E56" s="176" t="n"/>
      <c r="F56" s="181" t="n"/>
      <c r="G56" s="149" t="inlineStr">
        <is>
          <t>MANAGER:</t>
        </is>
      </c>
      <c r="H56" s="176" t="n"/>
      <c r="I56" s="149" t="n"/>
      <c r="J56" s="68" t="inlineStr">
        <is>
          <t>Subash Valrani</t>
        </is>
      </c>
      <c r="K56" s="56" t="n"/>
      <c r="L56" s="73" t="n"/>
      <c r="M56" s="149" t="inlineStr">
        <is>
          <t>MANAGER:</t>
        </is>
      </c>
      <c r="N56" s="176" t="n"/>
      <c r="O56" s="176" t="n"/>
      <c r="P56" s="183" t="inlineStr">
        <is>
          <t>Subash Valrani</t>
        </is>
      </c>
      <c r="Q56" s="176" t="n"/>
      <c r="R56" s="181" t="n"/>
    </row>
    <row r="57" ht="24.6" customHeight="1" thickBot="1">
      <c r="A57" s="160" t="inlineStr">
        <is>
          <t>GRAND TOTAL</t>
        </is>
      </c>
      <c r="B57" s="178" t="n"/>
      <c r="C57" s="178" t="n"/>
      <c r="D57" s="228" t="n">
        <v>44885.12</v>
      </c>
      <c r="E57" s="178" t="n"/>
      <c r="F57" s="179" t="n"/>
      <c r="G57" s="167" t="n"/>
      <c r="H57" s="167" t="n"/>
      <c r="I57" s="167" t="n"/>
      <c r="J57" s="68" t="n"/>
      <c r="K57" s="56" t="n"/>
      <c r="L57" s="73" t="n"/>
      <c r="M57" s="229" t="inlineStr">
        <is>
          <t>ACCOUNTANT:</t>
        </is>
      </c>
      <c r="N57" s="176" t="n"/>
      <c r="O57" s="181" t="n"/>
      <c r="P57" s="183" t="inlineStr">
        <is>
          <t>Zeeshan</t>
        </is>
      </c>
      <c r="Q57" s="176" t="n"/>
      <c r="R57" s="181" t="n"/>
    </row>
    <row r="58" ht="15.75" customFormat="1" customHeight="1" s="172" thickBot="1">
      <c r="A58" s="160" t="inlineStr">
        <is>
          <t>Selling Price</t>
        </is>
      </c>
      <c r="B58" s="178" t="n"/>
      <c r="C58" s="178" t="n"/>
      <c r="D58" s="228" t="n">
        <v>60167.72</v>
      </c>
      <c r="E58" s="178" t="n"/>
      <c r="F58" s="179" t="n"/>
      <c r="G58" s="167" t="n"/>
      <c r="H58" s="178" t="n"/>
      <c r="I58" s="167" t="n"/>
      <c r="J58" s="68" t="n"/>
      <c r="K58" s="56" t="n"/>
      <c r="L58" s="73" t="n"/>
      <c r="M58" s="183" t="n"/>
      <c r="N58" s="176" t="n"/>
      <c r="O58" s="181" t="n"/>
      <c r="P58" s="230" t="n"/>
      <c r="Q58" s="178" t="n"/>
      <c r="R58" s="179" t="n"/>
    </row>
    <row r="59" ht="15.75" customFormat="1" customHeight="1" s="172" thickBot="1">
      <c r="A59" s="160" t="inlineStr">
        <is>
          <t>Net Profit</t>
        </is>
      </c>
      <c r="B59" s="178" t="n"/>
      <c r="C59" s="178" t="n"/>
      <c r="D59" s="228" t="n">
        <v>15282.6</v>
      </c>
      <c r="E59" s="178" t="n"/>
      <c r="F59" s="179" t="n"/>
      <c r="K59" s="57" t="n"/>
    </row>
    <row r="60" customFormat="1" s="172">
      <c r="A60" s="44" t="n"/>
      <c r="B60" s="44" t="n"/>
      <c r="K60" s="57" t="n"/>
    </row>
    <row r="61" customFormat="1" s="172">
      <c r="F61" s="231" t="n">
        <v>0.2539999853742173</v>
      </c>
      <c r="K61" s="57" t="n"/>
    </row>
    <row r="62" ht="15.75" customFormat="1" customHeight="1" s="172">
      <c r="A62" s="45" t="n"/>
      <c r="B62" s="222">
        <f>D58-D55</f>
        <v/>
      </c>
      <c r="D62" s="222" t="n"/>
      <c r="F62" s="232" t="n"/>
      <c r="H62" s="222" t="n"/>
      <c r="K62" s="57" t="n"/>
    </row>
    <row r="63" customFormat="1" s="172">
      <c r="A63" s="47" t="n"/>
      <c r="K63" s="57" t="n"/>
    </row>
    <row r="64" customFormat="1" s="172">
      <c r="A64" s="47" t="n"/>
      <c r="K64" s="57" t="n"/>
    </row>
    <row r="65">
      <c r="K65" s="57" t="n"/>
    </row>
    <row r="66">
      <c r="K66" s="57" t="n"/>
    </row>
    <row r="67">
      <c r="K67" s="155" t="n"/>
    </row>
    <row r="68">
      <c r="K68" s="155" t="n"/>
    </row>
    <row r="69">
      <c r="K69" s="155" t="n"/>
    </row>
    <row r="70" customFormat="1" s="172">
      <c r="K70" s="155" t="n"/>
      <c r="L70" s="172" t="n"/>
    </row>
    <row r="71" customFormat="1" s="172">
      <c r="L71" s="172" t="n"/>
    </row>
  </sheetData>
  <mergeCells count="140">
    <mergeCell ref="O7:P7"/>
    <mergeCell ref="Q7:R7"/>
    <mergeCell ref="C6:D6"/>
    <mergeCell ref="Q21:R21"/>
    <mergeCell ref="B16:F16"/>
    <mergeCell ref="O12:R12"/>
    <mergeCell ref="B25:F25"/>
    <mergeCell ref="G6:L6"/>
    <mergeCell ref="A57:C57"/>
    <mergeCell ref="E8:F8"/>
    <mergeCell ref="B18:F18"/>
    <mergeCell ref="B52:F52"/>
    <mergeCell ref="G5:L5"/>
    <mergeCell ref="A7:B7"/>
    <mergeCell ref="Q51:R51"/>
    <mergeCell ref="B42:F42"/>
    <mergeCell ref="M10:N10"/>
    <mergeCell ref="G4:L4"/>
    <mergeCell ref="Q26:R26"/>
    <mergeCell ref="O6:R6"/>
    <mergeCell ref="B53:F53"/>
    <mergeCell ref="B44:F44"/>
    <mergeCell ref="A13:F13"/>
    <mergeCell ref="B34:F34"/>
    <mergeCell ref="B28:F28"/>
    <mergeCell ref="B37:F37"/>
    <mergeCell ref="G58:H58"/>
    <mergeCell ref="Q49:R49"/>
    <mergeCell ref="P55:R55"/>
    <mergeCell ref="B26:F26"/>
    <mergeCell ref="M8:N8"/>
    <mergeCell ref="B30:F30"/>
    <mergeCell ref="M55:O55"/>
    <mergeCell ref="Q17:R17"/>
    <mergeCell ref="B20:F20"/>
    <mergeCell ref="B15:F15"/>
    <mergeCell ref="G8:L8"/>
    <mergeCell ref="A9:B9"/>
    <mergeCell ref="D57:F57"/>
    <mergeCell ref="Q53:R53"/>
    <mergeCell ref="E12:F12"/>
    <mergeCell ref="B54:F54"/>
    <mergeCell ref="G10:L10"/>
    <mergeCell ref="O8:R8"/>
    <mergeCell ref="A11:B11"/>
    <mergeCell ref="C5:D5"/>
    <mergeCell ref="O11:R11"/>
    <mergeCell ref="E5:F5"/>
    <mergeCell ref="A55:C55"/>
    <mergeCell ref="Q52:R52"/>
    <mergeCell ref="C4:D4"/>
    <mergeCell ref="J7:L7"/>
    <mergeCell ref="Q54:R54"/>
    <mergeCell ref="B43:F43"/>
    <mergeCell ref="E4:F4"/>
    <mergeCell ref="G7:H7"/>
    <mergeCell ref="P57:R57"/>
    <mergeCell ref="Q23:R23"/>
    <mergeCell ref="M57:O57"/>
    <mergeCell ref="B17:F17"/>
    <mergeCell ref="D55:F55"/>
    <mergeCell ref="M7:N7"/>
    <mergeCell ref="Q15:R15"/>
    <mergeCell ref="A58:C58"/>
    <mergeCell ref="B19:F19"/>
    <mergeCell ref="M56:O56"/>
    <mergeCell ref="M58:O58"/>
    <mergeCell ref="G12:L12"/>
    <mergeCell ref="A10:B10"/>
    <mergeCell ref="A1:R1"/>
    <mergeCell ref="A8:D8"/>
    <mergeCell ref="B47:F47"/>
    <mergeCell ref="Q42:R42"/>
    <mergeCell ref="B46:F46"/>
    <mergeCell ref="B31:F31"/>
    <mergeCell ref="M13:R13"/>
    <mergeCell ref="M9:N9"/>
    <mergeCell ref="M5:N5"/>
    <mergeCell ref="B21:F21"/>
    <mergeCell ref="B39:F39"/>
    <mergeCell ref="M11:N11"/>
    <mergeCell ref="B48:F48"/>
    <mergeCell ref="Q20:R20"/>
    <mergeCell ref="D58:F58"/>
    <mergeCell ref="Q14:R14"/>
    <mergeCell ref="B23:F23"/>
    <mergeCell ref="A12:B12"/>
    <mergeCell ref="O9:R9"/>
    <mergeCell ref="C12:D12"/>
    <mergeCell ref="E6:F6"/>
    <mergeCell ref="M12:N12"/>
    <mergeCell ref="G9:L9"/>
    <mergeCell ref="A5:B5"/>
    <mergeCell ref="Q46:R46"/>
    <mergeCell ref="O5:R5"/>
    <mergeCell ref="D59:F59"/>
    <mergeCell ref="A59:C59"/>
    <mergeCell ref="A4:B4"/>
    <mergeCell ref="G11:L11"/>
    <mergeCell ref="Q48:R48"/>
    <mergeCell ref="O4:R4"/>
    <mergeCell ref="E7:F7"/>
    <mergeCell ref="B36:F36"/>
    <mergeCell ref="B50:F50"/>
    <mergeCell ref="G56:H56"/>
    <mergeCell ref="Q47:R47"/>
    <mergeCell ref="Q16:R16"/>
    <mergeCell ref="G13:L13"/>
    <mergeCell ref="A56:C56"/>
    <mergeCell ref="Q18:R18"/>
    <mergeCell ref="B22:F22"/>
    <mergeCell ref="A6:B6"/>
    <mergeCell ref="A3:R3"/>
    <mergeCell ref="E2:M2"/>
    <mergeCell ref="C10:D10"/>
    <mergeCell ref="E10:F10"/>
    <mergeCell ref="D56:F56"/>
    <mergeCell ref="Q50:R50"/>
    <mergeCell ref="Q19:R19"/>
    <mergeCell ref="B14:F14"/>
    <mergeCell ref="O10:R10"/>
    <mergeCell ref="C9:D9"/>
    <mergeCell ref="E9:F9"/>
    <mergeCell ref="B29:F29"/>
    <mergeCell ref="B38:F38"/>
    <mergeCell ref="M6:N6"/>
    <mergeCell ref="P58:R58"/>
    <mergeCell ref="C11:D11"/>
    <mergeCell ref="E11:F11"/>
    <mergeCell ref="Q22:R22"/>
    <mergeCell ref="B40:F40"/>
    <mergeCell ref="G55:H55"/>
    <mergeCell ref="B49:F49"/>
    <mergeCell ref="B24:F24"/>
    <mergeCell ref="B51:F51"/>
    <mergeCell ref="P56:R56"/>
    <mergeCell ref="B32:F32"/>
    <mergeCell ref="M4:N4"/>
    <mergeCell ref="B41:F41"/>
    <mergeCell ref="B35:F35"/>
  </mergeCells>
  <printOptions horizontalCentered="1"/>
  <pageMargins left="0.05" right="0" top="0.5" bottom="0.05" header="0" footer="0"/>
  <pageSetup orientation="portrait" paperSize="9" scale="5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6" customWidth="1" min="3" max="3"/>
  </cols>
  <sheetData>
    <row r="1">
      <c r="A1" s="233" t="inlineStr">
        <is>
          <t>RATE CONFIGURATION SNAPSHOT</t>
        </is>
      </c>
    </row>
    <row r="3">
      <c r="A3" s="234" t="inlineStr">
        <is>
          <t>Parameter</t>
        </is>
      </c>
      <c r="B3" s="234" t="inlineStr">
        <is>
          <t>Value</t>
        </is>
      </c>
      <c r="C3" s="234" t="inlineStr">
        <is>
          <t>Unit</t>
        </is>
      </c>
    </row>
    <row r="4">
      <c r="A4" s="235" t="inlineStr">
        <is>
          <t>material_rate_per_kg</t>
        </is>
      </c>
      <c r="B4" s="236" t="n">
        <v>3.5</v>
      </c>
      <c r="C4" s="235" t="inlineStr">
        <is>
          <t>AED/kg</t>
        </is>
      </c>
    </row>
    <row r="5">
      <c r="A5" s="235" t="inlineStr">
        <is>
          <t>bolt_rate_per_nos</t>
        </is>
      </c>
      <c r="B5" s="236" t="n">
        <v>12.5</v>
      </c>
      <c r="C5" s="235" t="inlineStr"/>
    </row>
    <row r="6">
      <c r="A6" s="235" t="inlineStr">
        <is>
          <t>bolt_rate_m16_per_nos</t>
        </is>
      </c>
      <c r="B6" s="236" t="n">
        <v>8.5</v>
      </c>
      <c r="C6" s="235" t="inlineStr"/>
    </row>
    <row r="7">
      <c r="A7" s="235" t="inlineStr">
        <is>
          <t>paint_material_rate_per_litre</t>
        </is>
      </c>
      <c r="B7" s="236" t="n">
        <v>21</v>
      </c>
      <c r="C7" s="235" t="inlineStr"/>
    </row>
    <row r="8">
      <c r="A8" s="235" t="inlineStr">
        <is>
          <t>paint_litres_per_kg</t>
        </is>
      </c>
      <c r="B8" s="236" t="n">
        <v>0.01538</v>
      </c>
      <c r="C8" s="235" t="inlineStr"/>
    </row>
    <row r="9">
      <c r="A9" s="235" t="inlineStr">
        <is>
          <t>welding_hourly_rate</t>
        </is>
      </c>
      <c r="B9" s="236" t="n">
        <v>45</v>
      </c>
      <c r="C9" s="235" t="inlineStr">
        <is>
          <t>AED/hr</t>
        </is>
      </c>
    </row>
    <row r="10">
      <c r="A10" s="235" t="inlineStr">
        <is>
          <t>welding_factor_hr_per_kg</t>
        </is>
      </c>
      <c r="B10" s="236" t="n">
        <v>0.02051</v>
      </c>
      <c r="C10" s="235" t="inlineStr"/>
    </row>
    <row r="11">
      <c r="A11" s="235" t="inlineStr">
        <is>
          <t>fabrication_hourly_rate</t>
        </is>
      </c>
      <c r="B11" s="236" t="n">
        <v>45</v>
      </c>
      <c r="C11" s="235" t="inlineStr">
        <is>
          <t>AED/hr</t>
        </is>
      </c>
    </row>
    <row r="12">
      <c r="A12" s="235" t="inlineStr">
        <is>
          <t>fabrication_factor_hr_per_kg</t>
        </is>
      </c>
      <c r="B12" s="236" t="n">
        <v>0.04102</v>
      </c>
      <c r="C12" s="235" t="inlineStr"/>
    </row>
    <row r="13">
      <c r="A13" s="235" t="inlineStr">
        <is>
          <t>blasting_rate_per_m2</t>
        </is>
      </c>
      <c r="B13" s="236" t="n">
        <v>9</v>
      </c>
      <c r="C13" s="235" t="inlineStr"/>
    </row>
    <row r="14">
      <c r="A14" s="235" t="inlineStr">
        <is>
          <t>painting_rate_per_m2</t>
        </is>
      </c>
      <c r="B14" s="236" t="n">
        <v>11</v>
      </c>
      <c r="C14" s="235" t="inlineStr"/>
    </row>
    <row r="15">
      <c r="A15" s="235" t="inlineStr">
        <is>
          <t>surface_area_factor_m2_per_kg</t>
        </is>
      </c>
      <c r="B15" s="236" t="n">
        <v>0.0256</v>
      </c>
      <c r="C15" s="235" t="inlineStr"/>
    </row>
    <row r="16">
      <c r="A16" s="235" t="inlineStr">
        <is>
          <t>consumables_rate_per_kg_steel</t>
        </is>
      </c>
      <c r="B16" s="236" t="n">
        <v>0.6855</v>
      </c>
      <c r="C16" s="235" t="inlineStr"/>
    </row>
    <row r="17">
      <c r="A17" s="235" t="inlineStr">
        <is>
          <t>mpi_rate_per_visit</t>
        </is>
      </c>
      <c r="B17" s="236" t="n">
        <v>600</v>
      </c>
      <c r="C17" s="235" t="inlineStr"/>
    </row>
    <row r="18">
      <c r="A18" s="235" t="inlineStr">
        <is>
          <t>mpi_kg_per_visit</t>
        </is>
      </c>
      <c r="B18" s="236" t="n">
        <v>800</v>
      </c>
      <c r="C18" s="235" t="inlineStr"/>
    </row>
    <row r="19">
      <c r="A19" s="235" t="inlineStr">
        <is>
          <t>galvanizing_rate_per_kg</t>
        </is>
      </c>
      <c r="B19" s="236" t="n">
        <v>2</v>
      </c>
      <c r="C19" s="235" t="inlineStr"/>
    </row>
    <row r="20">
      <c r="A20" s="235" t="inlineStr">
        <is>
          <t>qaqc_fixed</t>
        </is>
      </c>
      <c r="B20" s="236" t="n">
        <v>3000</v>
      </c>
      <c r="C20" s="235" t="inlineStr"/>
    </row>
    <row r="21">
      <c r="A21" s="235" t="inlineStr">
        <is>
          <t>packing_fixed</t>
        </is>
      </c>
      <c r="B21" s="236" t="n">
        <v>3000</v>
      </c>
      <c r="C21" s="235" t="inlineStr"/>
    </row>
    <row r="22">
      <c r="A22" s="235" t="inlineStr">
        <is>
          <t>overhead_percentage</t>
        </is>
      </c>
      <c r="B22" s="236" t="n">
        <v>12</v>
      </c>
      <c r="C22" s="235" t="inlineStr">
        <is>
          <t>%</t>
        </is>
      </c>
    </row>
    <row r="23">
      <c r="A23" s="235" t="inlineStr">
        <is>
          <t>profit_margin_on_sell_pct</t>
        </is>
      </c>
      <c r="B23" s="236" t="n">
        <v>25.4</v>
      </c>
      <c r="C23" s="235" t="inlineStr"/>
    </row>
    <row r="24">
      <c r="A24" s="235" t="inlineStr">
        <is>
          <t>steel_density_kg_m3</t>
        </is>
      </c>
      <c r="B24" s="236" t="n">
        <v>7850</v>
      </c>
      <c r="C24" s="235" t="inlineStr"/>
    </row>
    <row r="25">
      <c r="A25" s="235" t="inlineStr">
        <is>
          <t>fabrication_rate_per_kg</t>
        </is>
      </c>
      <c r="B25" s="236" t="n">
        <v>6</v>
      </c>
      <c r="C25" s="235" t="inlineStr"/>
    </row>
    <row r="26">
      <c r="A26" s="235" t="inlineStr">
        <is>
          <t>manhour_factor_hr_per_kg</t>
        </is>
      </c>
      <c r="B26" s="236" t="n">
        <v>0.15</v>
      </c>
      <c r="C26" s="235" t="inlineStr"/>
    </row>
    <row r="27">
      <c r="A27" s="235" t="inlineStr">
        <is>
          <t>welding_time_per_m_hr</t>
        </is>
      </c>
      <c r="B27" s="236" t="n">
        <v>0.8</v>
      </c>
      <c r="C27" s="235" t="inlineStr"/>
    </row>
    <row r="28">
      <c r="A28" s="235" t="inlineStr">
        <is>
          <t>consumable_factor_kg_per_m</t>
        </is>
      </c>
      <c r="B28" s="236" t="n">
        <v>0.12</v>
      </c>
      <c r="C28" s="235" t="inlineStr"/>
    </row>
    <row r="29">
      <c r="A29" s="235" t="inlineStr">
        <is>
          <t>consumable_unit_rate</t>
        </is>
      </c>
      <c r="B29" s="236" t="n">
        <v>15</v>
      </c>
      <c r="C29" s="235" t="inlineStr"/>
    </row>
    <row r="30">
      <c r="A30" s="235" t="inlineStr">
        <is>
          <t>cutting_rate_per_cut</t>
        </is>
      </c>
      <c r="B30" s="236" t="n">
        <v>25</v>
      </c>
      <c r="C30" s="235" t="inlineStr"/>
    </row>
    <row r="31">
      <c r="A31" s="235" t="inlineStr">
        <is>
          <t>surface_treatment_rate_per_m2</t>
        </is>
      </c>
      <c r="B31" s="236" t="n">
        <v>55</v>
      </c>
      <c r="C31" s="235" t="inlineStr">
        <is>
          <t>AED/m2</t>
        </is>
      </c>
    </row>
    <row r="32">
      <c r="A32" s="235" t="inlineStr">
        <is>
          <t>profit_margin_percentage</t>
        </is>
      </c>
      <c r="B32" s="236" t="n">
        <v>15</v>
      </c>
      <c r="C32" s="235" t="inlineStr">
        <is>
          <t>%</t>
        </is>
      </c>
    </row>
    <row r="33">
      <c r="A33" s="235" t="inlineStr">
        <is>
          <t>weld_length_per_joint_mm</t>
        </is>
      </c>
      <c r="B33" s="236" t="n">
        <v>150</v>
      </c>
      <c r="C33" s="235" t="inlineStr"/>
    </row>
    <row r="34">
      <c r="A34" s="235" t="inlineStr">
        <is>
          <t>structural_steel_aed_per_kg</t>
        </is>
      </c>
      <c r="B34" s="236" t="n">
        <v>5.5</v>
      </c>
      <c r="C34" s="235" t="inlineStr"/>
    </row>
    <row r="35">
      <c r="A35" s="235" t="inlineStr">
        <is>
          <t>stainless_steel_aed_per_kg</t>
        </is>
      </c>
      <c r="B35" s="236" t="n">
        <v>22</v>
      </c>
      <c r="C35" s="235" t="inlineStr"/>
    </row>
    <row r="36">
      <c r="A36" s="235" t="inlineStr">
        <is>
          <t>bolt_m16_aed_per_piece</t>
        </is>
      </c>
      <c r="B36" s="236" t="n">
        <v>2.5</v>
      </c>
      <c r="C36" s="235" t="inlineStr"/>
    </row>
    <row r="37">
      <c r="A37" s="235" t="inlineStr">
        <is>
          <t>bolt_m20_aed_per_piece</t>
        </is>
      </c>
      <c r="B37" s="236" t="n">
        <v>3.8</v>
      </c>
      <c r="C37" s="235" t="inlineStr"/>
    </row>
    <row r="38">
      <c r="A38" s="235" t="inlineStr">
        <is>
          <t>bolt_m24_aed_per_piece</t>
        </is>
      </c>
      <c r="B38" s="236" t="n">
        <v>5.2</v>
      </c>
      <c r="C38" s="235" t="inlineStr"/>
    </row>
    <row r="39">
      <c r="A39" s="235" t="inlineStr">
        <is>
          <t>consumables_percentage_of_steel</t>
        </is>
      </c>
      <c r="B39" s="236" t="n">
        <v>3.5</v>
      </c>
      <c r="C39" s="235" t="inlineStr"/>
    </row>
    <row r="40">
      <c r="A40" s="235" t="inlineStr">
        <is>
          <t>paint_2pack_epoxy_aed_per_litre</t>
        </is>
      </c>
      <c r="B40" s="236" t="n">
        <v>85</v>
      </c>
      <c r="C40" s="235" t="inlineStr"/>
    </row>
    <row r="41">
      <c r="A41" s="235" t="inlineStr">
        <is>
          <t>paint_coverage_factor_m2_per_litre</t>
        </is>
      </c>
      <c r="B41" s="236" t="n">
        <v>6.67</v>
      </c>
      <c r="C41" s="235" t="inlineStr"/>
    </row>
    <row r="42">
      <c r="A42" s="235" t="inlineStr">
        <is>
          <t>labour_hourly_rate_aed</t>
        </is>
      </c>
      <c r="B42" s="236" t="n">
        <v>35</v>
      </c>
      <c r="C42" s="235" t="inlineStr"/>
    </row>
    <row r="43">
      <c r="A43" s="235" t="inlineStr">
        <is>
          <t>welding_manhours_per_kg</t>
        </is>
      </c>
      <c r="B43" s="236" t="n">
        <v>0.35</v>
      </c>
      <c r="C43" s="235" t="inlineStr"/>
    </row>
    <row r="44">
      <c r="A44" s="235" t="inlineStr">
        <is>
          <t>fabrication_manhours_per_kg</t>
        </is>
      </c>
      <c r="B44" s="236" t="n">
        <v>0.28</v>
      </c>
      <c r="C44" s="235" t="inlineStr"/>
    </row>
    <row r="45">
      <c r="A45" s="235" t="inlineStr">
        <is>
          <t>fitting_manhours_per_kg</t>
        </is>
      </c>
      <c r="B45" s="236" t="n">
        <v>0.18</v>
      </c>
      <c r="C45" s="235" t="inlineStr"/>
    </row>
    <row r="46">
      <c r="A46" s="235" t="inlineStr">
        <is>
          <t>grinding_manhours_per_kg</t>
        </is>
      </c>
      <c r="B46" s="236" t="n">
        <v>0.07000000000000001</v>
      </c>
      <c r="C46" s="235" t="inlineStr"/>
    </row>
    <row r="47">
      <c r="A47" s="235" t="inlineStr">
        <is>
          <t>galvanizing_aed_per_kg</t>
        </is>
      </c>
      <c r="B47" s="236" t="n">
        <v>3.2</v>
      </c>
      <c r="C47" s="235" t="inlineStr"/>
    </row>
    <row r="48">
      <c r="A48" s="235" t="inlineStr">
        <is>
          <t>blasting_sa25_aed_per_m2</t>
        </is>
      </c>
      <c r="B48" s="236" t="n">
        <v>12</v>
      </c>
      <c r="C48" s="235" t="inlineStr"/>
    </row>
    <row r="49">
      <c r="A49" s="235" t="inlineStr">
        <is>
          <t>painting_aed_per_m2</t>
        </is>
      </c>
      <c r="B49" s="236" t="n">
        <v>18</v>
      </c>
      <c r="C49" s="235" t="inlineStr"/>
    </row>
    <row r="50">
      <c r="A50" s="235" t="inlineStr">
        <is>
          <t>transport_percentage_of_total</t>
        </is>
      </c>
      <c r="B50" s="236" t="n">
        <v>2.5</v>
      </c>
      <c r="C50" s="235" t="inlineStr"/>
    </row>
    <row r="51">
      <c r="A51" s="235" t="inlineStr">
        <is>
          <t>transport_minimum_aed</t>
        </is>
      </c>
      <c r="B51" s="236" t="n">
        <v>1500</v>
      </c>
      <c r="C51" s="235" t="inlineStr"/>
    </row>
    <row r="52">
      <c r="A52" s="235" t="inlineStr">
        <is>
          <t>standard_schedule_weeks</t>
        </is>
      </c>
      <c r="B52" s="236" t="n">
        <v>4</v>
      </c>
      <c r="C52" s="235" t="inlineStr"/>
    </row>
    <row r="53">
      <c r="A53" s="235" t="inlineStr">
        <is>
          <t>rush_surcharge_percentage</t>
        </is>
      </c>
      <c r="B53" s="236" t="n">
        <v>20</v>
      </c>
      <c r="C53" s="235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0" customWidth="1" min="3" max="3"/>
  </cols>
  <sheetData>
    <row r="1">
      <c r="A1" s="233" t="inlineStr">
        <is>
          <t>CALCULATION AUDIT TRAIL</t>
        </is>
      </c>
    </row>
    <row r="2">
      <c r="A2" s="234" t="inlineStr">
        <is>
          <t>Step / Item</t>
        </is>
      </c>
      <c r="B2" s="234" t="inlineStr">
        <is>
          <t>Status</t>
        </is>
      </c>
      <c r="C2" s="234" t="inlineStr">
        <is>
          <t>Details</t>
        </is>
      </c>
    </row>
    <row r="3">
      <c r="A3" s="237" t="inlineStr">
        <is>
          <t>CS-2620-001</t>
        </is>
      </c>
      <c r="B3" s="237" t="inlineStr">
        <is>
          <t>weight_ok</t>
        </is>
      </c>
      <c r="C3" s="237" t="inlineStr">
        <is>
          <t>{'weight_kg': 0.0}</t>
        </is>
      </c>
    </row>
    <row r="4">
      <c r="A4" s="237" t="inlineStr">
        <is>
          <t>CS-2620-001</t>
        </is>
      </c>
      <c r="B4" s="237" t="inlineStr">
        <is>
          <t>weight_ok</t>
        </is>
      </c>
      <c r="C4" s="237" t="inlineStr">
        <is>
          <t>{'weight_kg': 0.0}</t>
        </is>
      </c>
    </row>
    <row r="5">
      <c r="A5" s="237" t="inlineStr">
        <is>
          <t>CS-2620-001</t>
        </is>
      </c>
      <c r="B5" s="237" t="inlineStr">
        <is>
          <t>weight_ok</t>
        </is>
      </c>
      <c r="C5" s="237" t="inlineStr">
        <is>
          <t>{'weight_kg': 0.0}</t>
        </is>
      </c>
    </row>
    <row r="6">
      <c r="A6" s="237" t="inlineStr">
        <is>
          <t>CS-2620-001</t>
        </is>
      </c>
      <c r="B6" s="237" t="inlineStr">
        <is>
          <t>weight_ok</t>
        </is>
      </c>
      <c r="C6" s="237" t="inlineStr">
        <is>
          <t>{'weight_kg': 7.536}</t>
        </is>
      </c>
    </row>
    <row r="7">
      <c r="A7" s="237" t="inlineStr">
        <is>
          <t>CS-2620-002</t>
        </is>
      </c>
      <c r="B7" s="237" t="inlineStr">
        <is>
          <t>weight_ok</t>
        </is>
      </c>
      <c r="C7" s="237" t="inlineStr">
        <is>
          <t>{'weight_kg': 0.0}</t>
        </is>
      </c>
    </row>
    <row r="8">
      <c r="A8" s="237" t="inlineStr">
        <is>
          <t>CS-2620-002</t>
        </is>
      </c>
      <c r="B8" s="237" t="inlineStr">
        <is>
          <t>weight_ok</t>
        </is>
      </c>
      <c r="C8" s="237" t="inlineStr">
        <is>
          <t>{'weight_kg': 0.0}</t>
        </is>
      </c>
    </row>
    <row r="9">
      <c r="A9" s="237" t="inlineStr">
        <is>
          <t>CS-2620-002</t>
        </is>
      </c>
      <c r="B9" s="237" t="inlineStr">
        <is>
          <t>weight_ok</t>
        </is>
      </c>
      <c r="C9" s="237" t="inlineStr">
        <is>
          <t>{'weight_kg': 7.536}</t>
        </is>
      </c>
    </row>
    <row r="10">
      <c r="A10" s="237" t="inlineStr">
        <is>
          <t>CS-2620-003</t>
        </is>
      </c>
      <c r="B10" s="237" t="inlineStr">
        <is>
          <t>weight_ok</t>
        </is>
      </c>
      <c r="C10" s="237" t="inlineStr">
        <is>
          <t>{'weight_kg': 0.0}</t>
        </is>
      </c>
    </row>
    <row r="11">
      <c r="A11" s="237" t="inlineStr">
        <is>
          <t>CS-2620-003</t>
        </is>
      </c>
      <c r="B11" s="237" t="inlineStr">
        <is>
          <t>weight_ok</t>
        </is>
      </c>
      <c r="C11" s="237" t="inlineStr">
        <is>
          <t>{'weight_kg': 0.0}</t>
        </is>
      </c>
    </row>
    <row r="12">
      <c r="A12" s="237" t="inlineStr">
        <is>
          <t>CS-2620-003</t>
        </is>
      </c>
      <c r="B12" s="237" t="inlineStr">
        <is>
          <t>weight_ok</t>
        </is>
      </c>
      <c r="C12" s="237" t="inlineStr">
        <is>
          <t>{'weight_kg': 7.536}</t>
        </is>
      </c>
    </row>
    <row r="13">
      <c r="A13" s="237" t="inlineStr">
        <is>
          <t>CS-2620-004</t>
        </is>
      </c>
      <c r="B13" s="237" t="inlineStr">
        <is>
          <t>weight_ok</t>
        </is>
      </c>
      <c r="C13" s="237" t="inlineStr">
        <is>
          <t>{'weight_kg': 0.0}</t>
        </is>
      </c>
    </row>
    <row r="14">
      <c r="A14" s="237" t="inlineStr">
        <is>
          <t>CS-2620-004</t>
        </is>
      </c>
      <c r="B14" s="237" t="inlineStr">
        <is>
          <t>weight_ok</t>
        </is>
      </c>
      <c r="C14" s="237" t="inlineStr">
        <is>
          <t>{'weight_kg': 0.0}</t>
        </is>
      </c>
    </row>
    <row r="15">
      <c r="A15" s="237" t="inlineStr">
        <is>
          <t>CS-2620-004</t>
        </is>
      </c>
      <c r="B15" s="237" t="inlineStr">
        <is>
          <t>weight_ok</t>
        </is>
      </c>
      <c r="C15" s="237" t="inlineStr">
        <is>
          <t>{'weight_kg': 7.536}</t>
        </is>
      </c>
    </row>
    <row r="16">
      <c r="A16" s="237" t="inlineStr">
        <is>
          <t>CS-2620-005</t>
        </is>
      </c>
      <c r="B16" s="237" t="inlineStr">
        <is>
          <t>weight_ok</t>
        </is>
      </c>
      <c r="C16" s="237" t="inlineStr">
        <is>
          <t>{'weight_kg': 0.0}</t>
        </is>
      </c>
    </row>
    <row r="17">
      <c r="A17" s="237" t="inlineStr">
        <is>
          <t>CS-2620-005</t>
        </is>
      </c>
      <c r="B17" s="237" t="inlineStr">
        <is>
          <t>weight_ok</t>
        </is>
      </c>
      <c r="C17" s="237" t="inlineStr">
        <is>
          <t>{'weight_kg': 0.0}</t>
        </is>
      </c>
    </row>
    <row r="18">
      <c r="A18" s="237" t="inlineStr">
        <is>
          <t>CS-2620-005</t>
        </is>
      </c>
      <c r="B18" s="237" t="inlineStr">
        <is>
          <t>weight_ok</t>
        </is>
      </c>
      <c r="C18" s="237" t="inlineStr">
        <is>
          <t>{'weight_kg': 7.536}</t>
        </is>
      </c>
    </row>
    <row r="19">
      <c r="A19" s="237" t="inlineStr">
        <is>
          <t>CS-2620-006</t>
        </is>
      </c>
      <c r="B19" s="237" t="inlineStr">
        <is>
          <t>weight_ok</t>
        </is>
      </c>
      <c r="C19" s="237" t="inlineStr">
        <is>
          <t>{'weight_kg': 0.0}</t>
        </is>
      </c>
    </row>
    <row r="20">
      <c r="A20" s="237" t="inlineStr">
        <is>
          <t>CS-2620-006</t>
        </is>
      </c>
      <c r="B20" s="237" t="inlineStr">
        <is>
          <t>weight_ok</t>
        </is>
      </c>
      <c r="C20" s="237" t="inlineStr">
        <is>
          <t>{'weight_kg': 0.0}</t>
        </is>
      </c>
    </row>
    <row r="21">
      <c r="A21" s="237" t="inlineStr">
        <is>
          <t>CS-2620-006</t>
        </is>
      </c>
      <c r="B21" s="237" t="inlineStr">
        <is>
          <t>weight_ok</t>
        </is>
      </c>
      <c r="C21" s="237" t="inlineStr">
        <is>
          <t>{'weight_kg': 7.536}</t>
        </is>
      </c>
    </row>
    <row r="22">
      <c r="A22" s="237" t="inlineStr">
        <is>
          <t>CS-2620-007</t>
        </is>
      </c>
      <c r="B22" s="237" t="inlineStr">
        <is>
          <t>weight_ok</t>
        </is>
      </c>
      <c r="C22" s="237" t="inlineStr">
        <is>
          <t>{'weight_kg': 0.0}</t>
        </is>
      </c>
    </row>
    <row r="23">
      <c r="A23" s="237" t="inlineStr">
        <is>
          <t>CS-2620-007</t>
        </is>
      </c>
      <c r="B23" s="237" t="inlineStr">
        <is>
          <t>weight_ok</t>
        </is>
      </c>
      <c r="C23" s="237" t="inlineStr">
        <is>
          <t>{'weight_kg': 0.0}</t>
        </is>
      </c>
    </row>
    <row r="24">
      <c r="A24" s="237" t="inlineStr">
        <is>
          <t>CS-2620-007</t>
        </is>
      </c>
      <c r="B24" s="237" t="inlineStr">
        <is>
          <t>weight_ok</t>
        </is>
      </c>
      <c r="C24" s="237" t="inlineStr">
        <is>
          <t>{'weight_kg': 7.536}</t>
        </is>
      </c>
    </row>
    <row r="25">
      <c r="A25" s="237" t="inlineStr">
        <is>
          <t>C&amp;J_10_step_aggregate</t>
        </is>
      </c>
      <c r="B25" s="237" t="inlineStr">
        <is>
          <t>ok</t>
        </is>
      </c>
      <c r="C25" s="237" t="inlineStr">
        <is>
          <t>{'total_steel_kg': 1842.6, 'step1_steel': 6449.1, 'step2_bolts': '72 nos × 12.5 = 900.0', 'step3_paint': '27.8 L × 21.0 = 583.8', 'step4_welding': '148.0 hrs × 45.0 = 6660.0', 'step5_fabrication': '296.0 hrs × 45.0 = 13320.0', 'step6_blasting': '185.0 m² × 9.0 = 1665.0', 'step6_painting': '185.0 m² × 11.0 = 2035.0', 'step7_consumables': 1263.1, 'step8_mpi': '2 visits × 600.0 = 1200.0', 'step9_fixed': 'QA/QC 3000.0 + Packing 3000.0', 'total_direct': 40076.0, 'overhead': '12.0% = 4809.12', 'grand_total': 44885.12, 'selling_price': 60167.72, 'net_profit': 15282.6}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Anand Dubey</dc:creator>
  <dcterms:created xmlns:dcterms="http://purl.org/dc/terms/" xmlns:xsi="http://www.w3.org/2001/XMLSchema-instance" xsi:type="dcterms:W3CDTF">2025-02-01T13:22:38Z</dcterms:created>
  <dcterms:modified xmlns:dcterms="http://purl.org/dc/terms/" xmlns:xsi="http://www.w3.org/2001/XMLSchema-instance" xsi:type="dcterms:W3CDTF">2026-04-22T12:18:21Z</dcterms:modified>
  <cp:lastModifiedBy>t11771</cp:lastModifiedBy>
</cp:coreProperties>
</file>