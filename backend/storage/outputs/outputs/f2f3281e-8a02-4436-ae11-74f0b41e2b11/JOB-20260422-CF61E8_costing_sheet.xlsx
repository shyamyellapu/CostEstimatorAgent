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5" yWindow="1425" windowWidth="21600" windowHeight="11295" tabRatio="600" firstSheet="0" activeTab="0" autoFilterDateGrouping="1"/>
  </bookViews>
  <sheets>
    <sheet xmlns:r="http://schemas.openxmlformats.org/officeDocument/2006/relationships" name="142676- Structure Frame" sheetId="1" state="visible" r:id="rId1"/>
    <sheet xmlns:r="http://schemas.openxmlformats.org/officeDocument/2006/relationships" name="RATES &amp; CONFIG" sheetId="2" state="visible" r:id="rId2"/>
    <sheet xmlns:r="http://schemas.openxmlformats.org/officeDocument/2006/relationships" name="AUDIT TRAIL" sheetId="3" state="visible" r:id="rId3"/>
  </sheets>
  <definedNames>
    <definedName name="_xlnm.Print_Area" localSheetId="0">'142676-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%"/>
    <numFmt numFmtId="166" formatCode="#,##0.0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37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43" fontId="20" fillId="3" borderId="25" applyAlignment="1" pivotButton="0" quotePrefix="0" xfId="6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4" fontId="20" fillId="0" borderId="0" applyAlignment="1" pivotButton="0" quotePrefix="0" xfId="4">
      <alignment vertical="center"/>
    </xf>
    <xf numFmtId="43" fontId="0" fillId="0" borderId="0" pivotButton="0" quotePrefix="0" xfId="1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20" fillId="3" borderId="36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43" fontId="0" fillId="0" borderId="0" pivotButton="0" quotePrefix="0" xfId="1"/>
    <xf numFmtId="0" fontId="4" fillId="0" borderId="4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50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7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166" fontId="20" fillId="3" borderId="25" applyAlignment="1" pivotButton="0" quotePrefix="0" xfId="6">
      <alignment horizontal="left" vertical="center"/>
    </xf>
    <xf numFmtId="0" fontId="20" fillId="3" borderId="49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46" applyAlignment="1" pivotButton="0" quotePrefix="0" xfId="5">
      <alignment horizontal="left" vertical="center" wrapText="1"/>
    </xf>
    <xf numFmtId="0" fontId="20" fillId="3" borderId="46" applyAlignment="1" pivotButton="0" quotePrefix="0" xfId="5">
      <alignment horizontal="left" vertical="center" wrapText="1"/>
    </xf>
    <xf numFmtId="166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164" fontId="20" fillId="3" borderId="26" applyAlignment="1" pivotButton="0" quotePrefix="0" xfId="4">
      <alignment horizontal="center" vertical="center"/>
    </xf>
    <xf numFmtId="43" fontId="0" fillId="0" borderId="0" pivotButton="0" quotePrefix="0" xfId="0"/>
    <xf numFmtId="166" fontId="20" fillId="0" borderId="31" applyAlignment="1" pivotButton="0" quotePrefix="0" xfId="6">
      <alignment horizontal="left" vertical="center"/>
    </xf>
    <xf numFmtId="4" fontId="6" fillId="4" borderId="43" applyAlignment="1" pivotButton="0" quotePrefix="0" xfId="1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4" fontId="6" fillId="4" borderId="18" applyAlignment="1" pivotButton="0" quotePrefix="0" xfId="1">
      <alignment horizontal="center" vertical="center" wrapText="1"/>
    </xf>
    <xf numFmtId="4" fontId="6" fillId="4" borderId="41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 wrapText="1"/>
    </xf>
    <xf numFmtId="165" fontId="0" fillId="0" borderId="0" pivotButton="0" quotePrefix="0" xfId="2"/>
    <xf numFmtId="43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5" borderId="52" applyAlignment="1" pivotButton="0" quotePrefix="0" xfId="0">
      <alignment horizontal="center" vertical="center"/>
    </xf>
    <xf numFmtId="0" fontId="25" fillId="0" borderId="52" pivotButton="0" quotePrefix="0" xfId="0"/>
    <xf numFmtId="166" fontId="25" fillId="0" borderId="52" pivotButton="0" quotePrefix="0" xfId="0"/>
    <xf numFmtId="0" fontId="25" fillId="0" borderId="52" applyAlignment="1" pivotButton="0" quotePrefix="0" xfId="0">
      <alignment horizontal="left" vertical="top" wrapText="1"/>
    </xf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1"/>
  <sheetViews>
    <sheetView tabSelected="1" zoomScale="85" zoomScaleNormal="85" workbookViewId="0">
      <selection activeCell="J48" sqref="J48"/>
    </sheetView>
  </sheetViews>
  <sheetFormatPr baseColWidth="8" defaultRowHeight="15"/>
  <cols>
    <col width="16.5703125" customWidth="1" min="2" max="2"/>
    <col width="16.85546875" customWidth="1" min="3" max="3"/>
    <col width="17.28515625" customWidth="1" min="4" max="4"/>
    <col width="12" customWidth="1" min="5" max="5"/>
    <col width="8.7109375" customWidth="1" min="6" max="6"/>
    <col width="11.5703125" bestFit="1" customWidth="1" min="7" max="7"/>
    <col width="9.5703125" customWidth="1" min="8" max="8"/>
    <col width="12.140625" bestFit="1" customWidth="1" min="9" max="9"/>
    <col width="12.42578125" customWidth="1" min="10" max="10"/>
    <col width="13" bestFit="1" customWidth="1" min="11" max="11"/>
    <col width="11.85546875" customWidth="1" min="12" max="12"/>
    <col width="21" customWidth="1" min="13" max="13"/>
    <col width="10.28515625" customWidth="1" min="14" max="14"/>
    <col width="9.28515625" customWidth="1" min="15" max="15"/>
    <col width="10.28515625" customWidth="1" min="16" max="16"/>
    <col width="8.28515625" customWidth="1" min="17" max="17"/>
    <col width="6.140625" customWidth="1" min="18" max="18"/>
    <col width="11.140625" bestFit="1" customWidth="1" style="172" min="19" max="19"/>
  </cols>
  <sheetData>
    <row r="1" ht="52.5" customHeight="1" thickBo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</row>
    <row r="2" ht="27" customHeight="1" thickBot="1">
      <c r="A2" s="2" t="n"/>
      <c r="B2" s="3" t="n"/>
      <c r="C2" s="3" t="n"/>
      <c r="D2" s="3" t="n"/>
      <c r="E2" s="62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3" t="n"/>
      <c r="O2" s="3" t="n"/>
      <c r="P2" s="3" t="n"/>
      <c r="Q2" s="3" t="n"/>
      <c r="R2" s="4" t="n"/>
    </row>
    <row r="3" ht="15.75" customHeight="1" thickBot="1">
      <c r="A3" s="177" t="inlineStr">
        <is>
          <t>REF NO: JOB-20260422-CF61E8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</row>
    <row r="4" ht="21" customHeight="1" thickBot="1">
      <c r="A4" s="180" t="inlineStr">
        <is>
          <t>CUSTOMER NAME</t>
        </is>
      </c>
      <c r="B4" s="181" t="n"/>
      <c r="C4" s="68" t="inlineStr"/>
      <c r="D4" s="176" t="n"/>
      <c r="E4" s="71" t="inlineStr">
        <is>
          <t>DATE</t>
        </is>
      </c>
      <c r="F4" s="181" t="n"/>
      <c r="G4" s="182" t="inlineStr">
        <is>
          <t>2026-04-22</t>
        </is>
      </c>
      <c r="H4" s="176" t="n"/>
      <c r="I4" s="176" t="n"/>
      <c r="J4" s="176" t="n"/>
      <c r="K4" s="176" t="n"/>
      <c r="L4" s="181" t="n"/>
      <c r="M4" s="70" t="inlineStr">
        <is>
          <t>ENQUIRY No</t>
        </is>
      </c>
      <c r="N4" s="176" t="n"/>
      <c r="O4" s="183" t="inlineStr"/>
      <c r="P4" s="176" t="n"/>
      <c r="Q4" s="176" t="n"/>
      <c r="R4" s="181" t="n"/>
    </row>
    <row r="5" ht="20.45" customHeight="1" thickBot="1">
      <c r="A5" s="66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n"/>
      <c r="H5" s="176" t="n"/>
      <c r="I5" s="176" t="n"/>
      <c r="J5" s="176" t="n"/>
      <c r="K5" s="176" t="n"/>
      <c r="L5" s="181" t="n"/>
      <c r="M5" s="70" t="inlineStr">
        <is>
          <t>JOB NO.</t>
        </is>
      </c>
      <c r="N5" s="176" t="n"/>
      <c r="O5" s="186" t="inlineStr">
        <is>
          <t>JOB-20260422-CF61E8</t>
        </is>
      </c>
      <c r="P5" s="176" t="n"/>
      <c r="Q5" s="176" t="n"/>
      <c r="R5" s="181" t="n"/>
    </row>
    <row r="6" ht="19.15" customHeight="1" thickBot="1">
      <c r="A6" s="74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n"/>
      <c r="H6" s="174" t="n"/>
      <c r="I6" s="174" t="n"/>
      <c r="J6" s="174" t="n"/>
      <c r="K6" s="174" t="n"/>
      <c r="L6" s="175" t="n"/>
      <c r="M6" s="70" t="inlineStr">
        <is>
          <t>JORL DATE:</t>
        </is>
      </c>
      <c r="N6" s="176" t="n"/>
      <c r="O6" s="189" t="n"/>
      <c r="P6" s="174" t="n"/>
      <c r="Q6" s="174" t="n"/>
      <c r="R6" s="175" t="n"/>
    </row>
    <row r="7" ht="24" customHeight="1" thickBot="1">
      <c r="A7" s="66" t="inlineStr">
        <is>
          <t>PROJECT PACKAGE DETAILS</t>
        </is>
      </c>
      <c r="B7" s="176" t="n"/>
      <c r="C7" s="68" t="inlineStr"/>
      <c r="D7" s="103" t="n"/>
      <c r="E7" s="183" t="inlineStr">
        <is>
          <t>MODULE WORK</t>
        </is>
      </c>
      <c r="F7" s="181" t="n"/>
      <c r="G7" s="100" t="inlineStr"/>
      <c r="H7" s="190" t="n"/>
      <c r="I7" s="101" t="n"/>
      <c r="J7" s="102" t="n"/>
      <c r="K7" s="176" t="n"/>
      <c r="L7" s="190" t="n"/>
      <c r="M7" s="100" t="n"/>
      <c r="N7" s="190" t="n"/>
      <c r="O7" s="104" t="n"/>
      <c r="P7" s="190" t="n"/>
      <c r="Q7" s="73" t="n"/>
      <c r="R7" s="181" t="n"/>
    </row>
    <row r="8" ht="15" customHeight="1" thickBot="1">
      <c r="A8" s="91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96" t="n"/>
      <c r="O8" s="193" t="n"/>
      <c r="P8" s="178" t="n"/>
      <c r="Q8" s="178" t="n"/>
      <c r="R8" s="179" t="n"/>
    </row>
    <row r="9" ht="21" customHeight="1" thickBot="1">
      <c r="A9" s="74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75" t="n"/>
      <c r="N9" s="174" t="n"/>
      <c r="O9" s="194" t="n"/>
      <c r="P9" s="195" t="n"/>
      <c r="Q9" s="195" t="n"/>
      <c r="R9" s="196" t="n"/>
    </row>
    <row r="10" ht="24" customHeight="1" thickBot="1">
      <c r="A10" s="66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85" t="n"/>
      <c r="N10" s="176" t="n"/>
      <c r="O10" s="194" t="n"/>
      <c r="P10" s="195" t="n"/>
      <c r="Q10" s="195" t="n"/>
      <c r="R10" s="196" t="n"/>
    </row>
    <row r="11" ht="22.9" customHeight="1" thickBot="1">
      <c r="A11" s="66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85" t="n"/>
      <c r="N11" s="176" t="n"/>
      <c r="O11" s="197" t="n"/>
      <c r="P11" s="195" t="n"/>
      <c r="Q11" s="195" t="n"/>
      <c r="R11" s="196" t="n"/>
    </row>
    <row r="12" ht="22.15" customHeight="1" thickBot="1">
      <c r="A12" s="66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85" t="n"/>
      <c r="N12" s="176" t="n"/>
      <c r="O12" s="199" t="n"/>
      <c r="P12" s="176" t="n"/>
      <c r="Q12" s="176" t="n"/>
      <c r="R12" s="181" t="n"/>
    </row>
    <row r="13" ht="33" customHeight="1" thickBo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</row>
    <row r="14" ht="24" customHeight="1" thickBot="1">
      <c r="A14" s="8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2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1" t="inlineStr">
        <is>
          <t>Remarks</t>
        </is>
      </c>
      <c r="R14" s="181" t="n"/>
    </row>
    <row r="15" ht="15" customHeight="1">
      <c r="A15" s="11" t="n"/>
      <c r="B15" s="126" t="inlineStr">
        <is>
          <t>Structural Work</t>
        </is>
      </c>
      <c r="C15" s="202" t="n"/>
      <c r="D15" s="202" t="n"/>
      <c r="E15" s="202" t="n"/>
      <c r="F15" s="202" t="n"/>
      <c r="G15" s="203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04" t="n"/>
    </row>
    <row r="16" ht="14.45" customHeight="1">
      <c r="A16" s="11" t="n">
        <v>1</v>
      </c>
      <c r="B16" s="116" t="inlineStr">
        <is>
          <t>Design, Drafting &amp; Drawing Charges</t>
        </is>
      </c>
      <c r="C16" s="205" t="n"/>
      <c r="D16" s="205" t="n"/>
      <c r="E16" s="205" t="n"/>
      <c r="F16" s="205" t="n"/>
      <c r="G16" s="206" t="n"/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04" t="n"/>
    </row>
    <row r="17" ht="14.45" customHeight="1">
      <c r="A17" s="11" t="n">
        <v>1.1</v>
      </c>
      <c r="B17" s="116" t="inlineStr">
        <is>
          <t>Gaps in customer design</t>
        </is>
      </c>
      <c r="C17" s="205" t="n"/>
      <c r="D17" s="205" t="n"/>
      <c r="E17" s="205" t="n"/>
      <c r="F17" s="205" t="n"/>
      <c r="G17" s="206" t="n"/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04" t="n"/>
    </row>
    <row r="18" ht="14.45" customHeight="1">
      <c r="A18" s="11" t="n">
        <v>2</v>
      </c>
      <c r="B18" s="116" t="inlineStr">
        <is>
          <t>BOM/BOQ Preparation</t>
        </is>
      </c>
      <c r="C18" s="205" t="n"/>
      <c r="D18" s="205" t="n"/>
      <c r="E18" s="205" t="n"/>
      <c r="F18" s="205" t="n"/>
      <c r="G18" s="206" t="n"/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04" t="n"/>
    </row>
    <row r="19" ht="14.45" customHeight="1">
      <c r="A19" s="11" t="n">
        <v>2.1</v>
      </c>
      <c r="B19" s="116" t="inlineStr">
        <is>
          <t>Changes in BOM due to Design change</t>
        </is>
      </c>
      <c r="C19" s="205" t="n"/>
      <c r="D19" s="205" t="n"/>
      <c r="E19" s="205" t="n"/>
      <c r="F19" s="205" t="n"/>
      <c r="G19" s="206" t="n"/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04" t="n"/>
    </row>
    <row r="20">
      <c r="A20" s="11" t="n">
        <v>3</v>
      </c>
      <c r="B20" s="116" t="inlineStr">
        <is>
          <t>Technical recommendations to customer</t>
        </is>
      </c>
      <c r="C20" s="205" t="n"/>
      <c r="D20" s="205" t="n"/>
      <c r="E20" s="205" t="n"/>
      <c r="F20" s="205" t="n"/>
      <c r="G20" s="206" t="n"/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04" t="n"/>
    </row>
    <row r="21" ht="15" customHeight="1" thickBot="1">
      <c r="A21" s="11" t="n">
        <v>4</v>
      </c>
      <c r="B21" s="116" t="inlineStr">
        <is>
          <t>Gaps in our estimation</t>
        </is>
      </c>
      <c r="C21" s="205" t="n"/>
      <c r="D21" s="205" t="n"/>
      <c r="E21" s="205" t="n"/>
      <c r="F21" s="205" t="n"/>
      <c r="G21" s="206" t="n"/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04" t="n"/>
    </row>
    <row r="22" ht="15" customHeight="1">
      <c r="A22" s="11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04" t="n"/>
    </row>
    <row r="23" ht="15" customHeight="1">
      <c r="A23" s="28" t="n">
        <v>5.1</v>
      </c>
      <c r="B23" s="131" t="inlineStr">
        <is>
          <t>Structural Steel Material</t>
        </is>
      </c>
      <c r="C23" s="205" t="n"/>
      <c r="D23" s="205" t="n"/>
      <c r="E23" s="205" t="n"/>
      <c r="F23" s="210" t="n"/>
      <c r="G23" s="211" t="n">
        <v>122.0644</v>
      </c>
      <c r="H23" s="24" t="inlineStr">
        <is>
          <t>Kg</t>
        </is>
      </c>
      <c r="I23" s="24" t="n"/>
      <c r="J23" s="25" t="n">
        <v>3.5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04" t="n"/>
    </row>
    <row r="24" ht="15" customHeight="1">
      <c r="A24" s="29" t="n">
        <v>5.2</v>
      </c>
      <c r="B24" s="131" t="inlineStr">
        <is>
          <t>M20x90 Long Bolts HEX HD</t>
        </is>
      </c>
      <c r="C24" s="205" t="n"/>
      <c r="D24" s="205" t="n"/>
      <c r="E24" s="205" t="n"/>
      <c r="F24" s="210" t="n"/>
      <c r="G24" s="209" t="inlineStr"/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118" t="n"/>
      <c r="R24" s="119" t="n"/>
    </row>
    <row r="25" ht="15" customHeight="1" thickBot="1">
      <c r="A25" s="50" t="n">
        <v>5.3</v>
      </c>
      <c r="B25" s="212" t="inlineStr">
        <is>
          <t>Paint Material</t>
        </is>
      </c>
      <c r="C25" s="213" t="n"/>
      <c r="D25" s="213" t="n"/>
      <c r="E25" s="213" t="n"/>
      <c r="F25" s="214" t="n"/>
      <c r="G25" s="209" t="inlineStr"/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15" t="n"/>
      <c r="N25" s="18" t="n"/>
      <c r="O25" s="18" t="n"/>
      <c r="P25" s="18" t="n"/>
      <c r="Q25" s="118" t="n"/>
      <c r="R25" s="119" t="n"/>
    </row>
    <row r="26" ht="15" customHeight="1">
      <c r="A26" s="11" t="n">
        <v>6</v>
      </c>
      <c r="B26" s="207" t="inlineStr">
        <is>
          <t>Material Inspection Charges</t>
        </is>
      </c>
      <c r="C26" s="202" t="n"/>
      <c r="D26" s="202" t="n"/>
      <c r="E26" s="202" t="n"/>
      <c r="F26" s="208" t="n"/>
      <c r="G26" s="206" t="n"/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04" t="n"/>
    </row>
    <row r="27" ht="15" customHeight="1">
      <c r="A27" s="11" t="n"/>
      <c r="B27" s="53" t="n"/>
      <c r="C27" s="54" t="n"/>
      <c r="D27" s="54" t="n"/>
      <c r="E27" s="54" t="n"/>
      <c r="F27" s="55" t="n"/>
      <c r="G27" s="206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118" t="n"/>
      <c r="R27" s="119" t="n"/>
    </row>
    <row r="28">
      <c r="A28" s="11" t="n">
        <v>7</v>
      </c>
      <c r="B28" s="216" t="inlineStr">
        <is>
          <t>Labour &amp; Fabrication Cost</t>
        </is>
      </c>
      <c r="C28" s="205" t="n"/>
      <c r="D28" s="205" t="n"/>
      <c r="E28" s="205" t="n"/>
      <c r="F28" s="204" t="n"/>
      <c r="G28" s="206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118" t="n"/>
      <c r="R28" s="119" t="n"/>
    </row>
    <row r="29" ht="15" customHeight="1">
      <c r="A29" s="29" t="n">
        <v>7.1</v>
      </c>
      <c r="B29" s="217" t="inlineStr">
        <is>
          <t>Structural Welding consumables</t>
        </is>
      </c>
      <c r="C29" s="205" t="n"/>
      <c r="D29" s="205" t="n"/>
      <c r="E29" s="205" t="n"/>
      <c r="F29" s="204" t="n"/>
      <c r="G29" s="209" t="n"/>
      <c r="H29" s="24" t="inlineStr">
        <is>
          <t>Hrs</t>
        </is>
      </c>
      <c r="I29" s="218" t="n">
        <v>54</v>
      </c>
      <c r="J29" s="31" t="n">
        <v>45</v>
      </c>
      <c r="K29" s="26">
        <f>I29*J29</f>
        <v/>
      </c>
      <c r="L29" s="27" t="n"/>
      <c r="M29" s="17" t="n"/>
      <c r="N29" s="18" t="n"/>
      <c r="O29" s="18" t="n"/>
      <c r="P29" s="18" t="n"/>
      <c r="Q29" s="118" t="n"/>
      <c r="R29" s="119" t="n"/>
      <c r="S29" s="172">
        <f>230000/30/30*(I29/8)</f>
        <v/>
      </c>
    </row>
    <row r="30" ht="15" customHeight="1">
      <c r="A30" s="29" t="n">
        <v>7.2</v>
      </c>
      <c r="B30" s="217" t="inlineStr">
        <is>
          <t>Structural Fabrication labour</t>
        </is>
      </c>
      <c r="C30" s="205" t="n"/>
      <c r="D30" s="205" t="n"/>
      <c r="E30" s="205" t="n"/>
      <c r="F30" s="204" t="n"/>
      <c r="G30" s="209" t="n"/>
      <c r="H30" s="24" t="inlineStr">
        <is>
          <t>Hrs</t>
        </is>
      </c>
      <c r="I30" s="218" t="n">
        <v>18.3097</v>
      </c>
      <c r="J30" s="31" t="n">
        <v>45</v>
      </c>
      <c r="K30" s="26">
        <f>I30*J30</f>
        <v/>
      </c>
      <c r="L30" s="27" t="n"/>
      <c r="M30" s="17" t="n"/>
      <c r="N30" s="18" t="n"/>
      <c r="O30" s="18" t="n"/>
      <c r="P30" s="18" t="n"/>
      <c r="Q30" s="118" t="n"/>
      <c r="R30" s="119" t="n"/>
      <c r="S30" s="172">
        <f>230000/30/30*(I30/8)</f>
        <v/>
      </c>
    </row>
    <row r="31" ht="15" customHeight="1">
      <c r="A31" s="29" t="n">
        <v>7.3</v>
      </c>
      <c r="B31" s="141" t="inlineStr">
        <is>
          <t xml:space="preserve">Hydrotesting </t>
        </is>
      </c>
      <c r="C31" s="219" t="n"/>
      <c r="D31" s="219" t="n"/>
      <c r="E31" s="219" t="n"/>
      <c r="F31" s="219" t="n"/>
      <c r="G31" s="220" t="n"/>
      <c r="H31" s="24" t="inlineStr">
        <is>
          <t>Inch Dia</t>
        </is>
      </c>
      <c r="I31" s="221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118" t="n"/>
      <c r="R31" s="119" t="n"/>
      <c r="S31" s="172">
        <f>230000/30/30*(I32/8)</f>
        <v/>
      </c>
    </row>
    <row r="32" ht="15" customHeight="1">
      <c r="A32" s="29" t="n">
        <v>7.4</v>
      </c>
      <c r="B32" s="137" t="inlineStr">
        <is>
          <t>Machining 8 labour hours per day for 4 days</t>
        </is>
      </c>
      <c r="C32" s="205" t="n"/>
      <c r="D32" s="205" t="n"/>
      <c r="E32" s="205" t="n"/>
      <c r="F32" s="205" t="n"/>
      <c r="G32" s="206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n"/>
      <c r="N32" s="18" t="n"/>
      <c r="O32" s="18" t="n"/>
      <c r="P32" s="18" t="n"/>
      <c r="Q32" s="118" t="n"/>
      <c r="R32" s="119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06" t="n"/>
      <c r="H33" s="24" t="inlineStr">
        <is>
          <t>lot</t>
        </is>
      </c>
      <c r="I33" s="24" t="n"/>
      <c r="J33" s="25">
        <f>D58/20</f>
        <v/>
      </c>
      <c r="K33" s="26">
        <f>G33*J33</f>
        <v/>
      </c>
      <c r="L33" s="27" t="n"/>
      <c r="M33" s="17" t="n"/>
      <c r="N33" s="18" t="n"/>
      <c r="O33" s="18" t="n"/>
      <c r="P33" s="18" t="n"/>
      <c r="Q33" s="118" t="n"/>
      <c r="R33" s="119" t="n"/>
    </row>
    <row r="34">
      <c r="A34" s="11" t="n">
        <v>9</v>
      </c>
      <c r="B34" s="116" t="inlineStr">
        <is>
          <t>Subcontractor Costing</t>
        </is>
      </c>
      <c r="C34" s="205" t="n"/>
      <c r="D34" s="205" t="n"/>
      <c r="E34" s="205" t="n"/>
      <c r="F34" s="205" t="n"/>
      <c r="G34" s="206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118" t="n"/>
      <c r="R34" s="119" t="n"/>
    </row>
    <row r="35">
      <c r="A35" s="29" t="n">
        <v>9.1</v>
      </c>
      <c r="B35" s="137" t="inlineStr">
        <is>
          <t>Machining &amp; Threading</t>
        </is>
      </c>
      <c r="C35" s="205" t="n"/>
      <c r="D35" s="205" t="n"/>
      <c r="E35" s="205" t="n"/>
      <c r="F35" s="205" t="n"/>
      <c r="G35" s="206" t="n"/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118" t="n"/>
      <c r="R35" s="119" t="n"/>
      <c r="T35" s="222" t="n"/>
    </row>
    <row r="36">
      <c r="A36" s="11" t="n">
        <v>10</v>
      </c>
      <c r="B36" s="116" t="inlineStr">
        <is>
          <t>Testing &amp; Quality Control</t>
        </is>
      </c>
      <c r="C36" s="205" t="n"/>
      <c r="D36" s="205" t="n"/>
      <c r="E36" s="205" t="n"/>
      <c r="F36" s="205" t="n"/>
      <c r="G36" s="220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118" t="n"/>
      <c r="R36" s="119" t="n"/>
      <c r="T36" s="222" t="n"/>
    </row>
    <row r="37" ht="15" customHeight="1">
      <c r="A37" s="29" t="n">
        <v>10.1</v>
      </c>
      <c r="B37" s="217" t="inlineStr">
        <is>
          <t>10% MPI/DPT</t>
        </is>
      </c>
      <c r="C37" s="205" t="n"/>
      <c r="D37" s="205" t="n"/>
      <c r="E37" s="205" t="n"/>
      <c r="F37" s="204" t="n"/>
      <c r="G37" s="220" t="n"/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118" t="n"/>
      <c r="R37" s="119" t="n"/>
    </row>
    <row r="38" ht="15" customHeight="1">
      <c r="A38" s="11" t="n">
        <v>11</v>
      </c>
      <c r="B38" s="116" t="inlineStr">
        <is>
          <t>Surface Preparation &amp; Coating</t>
        </is>
      </c>
      <c r="C38" s="205" t="n"/>
      <c r="D38" s="205" t="n"/>
      <c r="E38" s="205" t="n"/>
      <c r="F38" s="205" t="n"/>
      <c r="G38" s="206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118" t="n"/>
      <c r="R38" s="119" t="n"/>
    </row>
    <row r="39" ht="15" customHeight="1">
      <c r="A39" s="29" t="n">
        <v>11.1</v>
      </c>
      <c r="B39" s="137" t="inlineStr">
        <is>
          <t>Galvanizing Work</t>
        </is>
      </c>
      <c r="C39" s="205" t="n"/>
      <c r="D39" s="205" t="n"/>
      <c r="E39" s="205" t="n"/>
      <c r="F39" s="205" t="n"/>
      <c r="G39" s="206" t="inlineStr"/>
      <c r="H39" s="24" t="inlineStr">
        <is>
          <t>Kg</t>
        </is>
      </c>
      <c r="I39" s="24" t="n"/>
      <c r="J39" s="25" t="n">
        <v>2000</v>
      </c>
      <c r="K39" s="26">
        <f>G39*J39</f>
        <v/>
      </c>
      <c r="L39" s="27" t="n"/>
      <c r="M39" s="17" t="n"/>
      <c r="N39" s="18" t="n"/>
      <c r="O39" s="18" t="n"/>
      <c r="P39" s="18" t="n"/>
      <c r="Q39" s="118" t="n"/>
      <c r="R39" s="119" t="n"/>
      <c r="S39" s="172">
        <f>230000/30/30*(I40/8)</f>
        <v/>
      </c>
    </row>
    <row r="40" ht="24" customHeight="1">
      <c r="A40" s="29" t="n">
        <v>11.2</v>
      </c>
      <c r="B40" s="143" t="inlineStr">
        <is>
          <t>Blasting (3.56 Sq M)</t>
        </is>
      </c>
      <c r="C40" s="205" t="n"/>
      <c r="D40" s="205" t="n"/>
      <c r="E40" s="205" t="n"/>
      <c r="F40" s="205" t="n"/>
      <c r="G40" s="223" t="n">
        <v>3.5598</v>
      </c>
      <c r="H40" s="35" t="inlineStr">
        <is>
          <t>SQM</t>
        </is>
      </c>
      <c r="I40" s="37" t="n"/>
      <c r="J40" s="31" t="n">
        <v>55</v>
      </c>
      <c r="K40" s="26">
        <f>G40*J40</f>
        <v/>
      </c>
      <c r="L40" s="27" t="n"/>
      <c r="M40" s="17" t="n"/>
      <c r="N40" s="18" t="n"/>
      <c r="O40" s="18" t="n"/>
      <c r="P40" s="18" t="n"/>
      <c r="Q40" s="118" t="n"/>
      <c r="R40" s="119" t="n"/>
      <c r="S40" s="172">
        <f>230000/30/30*(I41/8)</f>
        <v/>
      </c>
    </row>
    <row r="41">
      <c r="A41" s="29" t="n">
        <v>11.3</v>
      </c>
      <c r="B41" s="143" t="inlineStr">
        <is>
          <t>Painting (3.56 Sq M)</t>
        </is>
      </c>
      <c r="C41" s="205" t="n"/>
      <c r="D41" s="205" t="n"/>
      <c r="E41" s="205" t="n"/>
      <c r="F41" s="205" t="n"/>
      <c r="G41" s="223" t="n">
        <v>3.5598</v>
      </c>
      <c r="H41" s="35" t="inlineStr">
        <is>
          <t>SQM</t>
        </is>
      </c>
      <c r="I41" s="37" t="n"/>
      <c r="J41" s="31" t="n">
        <v>55</v>
      </c>
      <c r="K41" s="26">
        <f>G41*J41</f>
        <v/>
      </c>
      <c r="L41" s="27" t="n"/>
      <c r="M41" s="17" t="n"/>
      <c r="N41" s="18" t="n"/>
      <c r="O41" s="18" t="n"/>
      <c r="P41" s="18" t="n"/>
      <c r="Q41" s="118" t="n"/>
      <c r="R41" s="119" t="n"/>
    </row>
    <row r="42" ht="15" customHeight="1">
      <c r="A42" s="11" t="n">
        <v>12</v>
      </c>
      <c r="B42" s="116" t="inlineStr">
        <is>
          <t>Third-Party Inspection (TPI)</t>
        </is>
      </c>
      <c r="C42" s="205" t="n"/>
      <c r="D42" s="205" t="n"/>
      <c r="E42" s="205" t="n"/>
      <c r="F42" s="205" t="n"/>
      <c r="G42" s="206" t="n"/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04" t="n"/>
    </row>
    <row r="43" ht="15" customHeight="1">
      <c r="A43" s="11" t="n">
        <v>13</v>
      </c>
      <c r="B43" s="116" t="inlineStr">
        <is>
          <t>QA/QC Documentation &amp; Certification</t>
        </is>
      </c>
      <c r="C43" s="205" t="n"/>
      <c r="D43" s="205" t="n"/>
      <c r="E43" s="205" t="n"/>
      <c r="F43" s="205" t="n"/>
      <c r="G43" s="206" t="n"/>
      <c r="H43" s="24" t="inlineStr">
        <is>
          <t>lot</t>
        </is>
      </c>
      <c r="I43" s="24" t="n"/>
      <c r="J43" s="25" t="n">
        <v>3000</v>
      </c>
      <c r="K43" s="26">
        <f>G43*J43</f>
        <v/>
      </c>
      <c r="L43" s="27" t="n"/>
      <c r="M43" s="17" t="n"/>
      <c r="N43" s="18" t="n"/>
      <c r="O43" s="18" t="n"/>
      <c r="P43" s="18" t="n"/>
      <c r="Q43" s="118" t="n"/>
      <c r="R43" s="119" t="n"/>
    </row>
    <row r="44">
      <c r="A44" s="11" t="n">
        <v>14</v>
      </c>
      <c r="B44" s="116" t="inlineStr">
        <is>
          <t>Packing and loading</t>
        </is>
      </c>
      <c r="C44" s="205" t="n"/>
      <c r="D44" s="205" t="n"/>
      <c r="E44" s="205" t="n"/>
      <c r="F44" s="205" t="n"/>
      <c r="G44" s="206" t="n"/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118" t="n"/>
      <c r="R44" s="119" t="n"/>
    </row>
    <row r="45">
      <c r="A45" s="11" t="n">
        <v>16</v>
      </c>
      <c r="B45" s="116" t="inlineStr">
        <is>
          <t>Insurance</t>
        </is>
      </c>
      <c r="C45" s="117" t="n"/>
      <c r="D45" s="117" t="n"/>
      <c r="E45" s="117" t="n"/>
      <c r="F45" s="117" t="n"/>
      <c r="G45" s="206" t="n"/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118" t="n"/>
      <c r="R45" s="119" t="n"/>
    </row>
    <row r="46">
      <c r="A46" s="11" t="n">
        <v>17</v>
      </c>
      <c r="B46" s="116" t="inlineStr">
        <is>
          <t>Permits, Licenses &amp; Regulatory Fees</t>
        </is>
      </c>
      <c r="C46" s="205" t="n"/>
      <c r="D46" s="205" t="n"/>
      <c r="E46" s="205" t="n"/>
      <c r="F46" s="205" t="n"/>
      <c r="G46" s="206" t="n"/>
      <c r="H46" s="24" t="inlineStr">
        <is>
          <t>Nos</t>
        </is>
      </c>
      <c r="I46" s="24" t="n"/>
      <c r="J46" s="25" t="n"/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04" t="n"/>
    </row>
    <row r="47">
      <c r="A47" s="11" t="n">
        <v>18</v>
      </c>
      <c r="B47" s="116" t="inlineStr">
        <is>
          <t>Equipment Rental &amp; Maintenance</t>
        </is>
      </c>
      <c r="C47" s="205" t="n"/>
      <c r="D47" s="205" t="n"/>
      <c r="E47" s="205" t="n"/>
      <c r="F47" s="205" t="n"/>
      <c r="G47" s="206" t="n"/>
      <c r="H47" s="24" t="inlineStr">
        <is>
          <t>lot</t>
        </is>
      </c>
      <c r="I47" s="24" t="n"/>
      <c r="J47" s="25" t="n"/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04" t="n"/>
    </row>
    <row r="48">
      <c r="A48" s="11" t="n">
        <v>20</v>
      </c>
      <c r="B48" s="116" t="inlineStr">
        <is>
          <t>Contingency Fund</t>
        </is>
      </c>
      <c r="C48" s="205" t="n"/>
      <c r="D48" s="205" t="n"/>
      <c r="E48" s="205" t="n"/>
      <c r="F48" s="205" t="n"/>
      <c r="G48" s="206" t="n"/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04" t="n"/>
    </row>
    <row r="49">
      <c r="A49" s="11" t="n">
        <v>21</v>
      </c>
      <c r="B49" s="116" t="inlineStr">
        <is>
          <t>Taxes &amp; Duties</t>
        </is>
      </c>
      <c r="C49" s="205" t="n"/>
      <c r="D49" s="205" t="n"/>
      <c r="E49" s="205" t="n"/>
      <c r="F49" s="205" t="n"/>
      <c r="G49" s="206" t="n"/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04" t="n"/>
    </row>
    <row r="50">
      <c r="A50" s="11" t="n">
        <v>22</v>
      </c>
      <c r="B50" s="116" t="inlineStr">
        <is>
          <t>Warranty &amp; Guarantee Costs</t>
        </is>
      </c>
      <c r="C50" s="205" t="n"/>
      <c r="D50" s="205" t="n"/>
      <c r="E50" s="205" t="n"/>
      <c r="F50" s="205" t="n"/>
      <c r="G50" s="206" t="n"/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04" t="n"/>
    </row>
    <row r="51">
      <c r="A51" s="11" t="n">
        <v>23</v>
      </c>
      <c r="B51" s="116" t="inlineStr">
        <is>
          <t>Project Management Fees</t>
        </is>
      </c>
      <c r="C51" s="205" t="n"/>
      <c r="D51" s="205" t="n"/>
      <c r="E51" s="205" t="n"/>
      <c r="F51" s="205" t="n"/>
      <c r="G51" s="206" t="n"/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04" t="n"/>
    </row>
    <row r="52">
      <c r="A52" s="11" t="n">
        <v>24</v>
      </c>
      <c r="B52" s="116" t="inlineStr">
        <is>
          <t>Environmental Compliance Costs</t>
        </is>
      </c>
      <c r="C52" s="205" t="n"/>
      <c r="D52" s="205" t="n"/>
      <c r="E52" s="205" t="n"/>
      <c r="F52" s="205" t="n"/>
      <c r="G52" s="206" t="n"/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04" t="n"/>
    </row>
    <row r="53">
      <c r="A53" s="11" t="n">
        <v>25</v>
      </c>
      <c r="B53" s="116" t="inlineStr">
        <is>
          <t>Training &amp; Certification</t>
        </is>
      </c>
      <c r="C53" s="205" t="n"/>
      <c r="D53" s="205" t="n"/>
      <c r="E53" s="205" t="n"/>
      <c r="F53" s="205" t="n"/>
      <c r="G53" s="206" t="n"/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04" t="n"/>
    </row>
    <row r="54" ht="24.6" customHeight="1" thickBot="1">
      <c r="A54" s="11" t="n">
        <v>26</v>
      </c>
      <c r="B54" s="116" t="inlineStr">
        <is>
          <t>Marketing &amp; Sales Costs</t>
        </is>
      </c>
      <c r="C54" s="205" t="n"/>
      <c r="D54" s="205" t="n"/>
      <c r="E54" s="205" t="n"/>
      <c r="F54" s="205" t="n"/>
      <c r="G54" s="206" t="n"/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04" t="n"/>
      <c r="S54" s="172">
        <f>SUM(S15:S43)</f>
        <v/>
      </c>
    </row>
    <row r="55" ht="24.6" customHeight="1" thickBot="1">
      <c r="A55" s="151" t="inlineStr">
        <is>
          <t>Total cost</t>
        </is>
      </c>
      <c r="B55" s="174" t="n"/>
      <c r="C55" s="174" t="n"/>
      <c r="D55" s="224" t="n">
        <v>4098.45</v>
      </c>
      <c r="E55" s="174" t="n"/>
      <c r="F55" s="175" t="n"/>
      <c r="G55" s="156" t="inlineStr">
        <is>
          <t>ESTIMATION
 ENGR.</t>
        </is>
      </c>
      <c r="I55" s="156" t="n"/>
      <c r="J55" s="68" t="inlineStr">
        <is>
          <t>Sachin Ahire</t>
        </is>
      </c>
      <c r="K55" s="56" t="n"/>
      <c r="L55" s="73" t="n"/>
      <c r="M55" s="157" t="inlineStr">
        <is>
          <t>PLANNING
 ENGR.</t>
        </is>
      </c>
      <c r="N55" s="174" t="n"/>
      <c r="O55" s="174" t="n"/>
      <c r="P55" s="225" t="inlineStr">
        <is>
          <t>Sachin Ahire</t>
        </is>
      </c>
      <c r="Q55" s="174" t="n"/>
      <c r="R55" s="175" t="n"/>
    </row>
    <row r="56" ht="24.6" customHeight="1" thickBot="1">
      <c r="A56" s="145" t="inlineStr">
        <is>
          <t xml:space="preserve">19.Overheads </t>
        </is>
      </c>
      <c r="B56" s="176" t="n"/>
      <c r="C56" s="176" t="n"/>
      <c r="D56" s="226" t="n">
        <v>614.77</v>
      </c>
      <c r="E56" s="176" t="n"/>
      <c r="F56" s="181" t="n"/>
      <c r="G56" s="150" t="inlineStr">
        <is>
          <t>MANAGER:</t>
        </is>
      </c>
      <c r="H56" s="176" t="n"/>
      <c r="I56" s="150" t="n"/>
      <c r="J56" s="68" t="inlineStr">
        <is>
          <t>Subash Valrani</t>
        </is>
      </c>
      <c r="K56" s="56" t="n"/>
      <c r="L56" s="73" t="n"/>
      <c r="M56" s="150" t="inlineStr">
        <is>
          <t>MANAGER:</t>
        </is>
      </c>
      <c r="N56" s="176" t="n"/>
      <c r="O56" s="176" t="n"/>
      <c r="P56" s="183" t="inlineStr">
        <is>
          <t>Subash Valrani</t>
        </is>
      </c>
      <c r="Q56" s="176" t="n"/>
      <c r="R56" s="181" t="n"/>
    </row>
    <row r="57" ht="24.6" customHeight="1" thickBot="1">
      <c r="A57" s="161" t="inlineStr">
        <is>
          <t>GRAND TOTAL</t>
        </is>
      </c>
      <c r="B57" s="178" t="n"/>
      <c r="C57" s="178" t="n"/>
      <c r="D57" s="227" t="n">
        <v>4713.219999999999</v>
      </c>
      <c r="E57" s="178" t="n"/>
      <c r="F57" s="179" t="n"/>
      <c r="G57" s="168" t="n"/>
      <c r="H57" s="168" t="n"/>
      <c r="I57" s="168" t="n"/>
      <c r="J57" s="68" t="n"/>
      <c r="K57" s="56" t="n"/>
      <c r="L57" s="73" t="n"/>
      <c r="M57" s="228" t="inlineStr">
        <is>
          <t>ACCOUNTANT:</t>
        </is>
      </c>
      <c r="N57" s="176" t="n"/>
      <c r="O57" s="181" t="n"/>
      <c r="P57" s="183" t="inlineStr">
        <is>
          <t>Zeeshan</t>
        </is>
      </c>
      <c r="Q57" s="176" t="n"/>
      <c r="R57" s="181" t="n"/>
    </row>
    <row r="58" ht="15.75" customFormat="1" customHeight="1" s="172" thickBot="1">
      <c r="A58" s="161" t="inlineStr">
        <is>
          <t>Selling Price</t>
        </is>
      </c>
      <c r="B58" s="178" t="n"/>
      <c r="C58" s="178" t="n"/>
      <c r="D58" s="227" t="n">
        <v>5278.8</v>
      </c>
      <c r="E58" s="178" t="n"/>
      <c r="F58" s="179" t="n"/>
      <c r="G58" s="168" t="n"/>
      <c r="H58" s="178" t="n"/>
      <c r="I58" s="168" t="n"/>
      <c r="J58" s="68" t="n"/>
      <c r="K58" s="56" t="n"/>
      <c r="L58" s="73" t="n"/>
      <c r="M58" s="183" t="n"/>
      <c r="N58" s="176" t="n"/>
      <c r="O58" s="181" t="n"/>
      <c r="P58" s="229" t="n"/>
      <c r="Q58" s="178" t="n"/>
      <c r="R58" s="179" t="n"/>
    </row>
    <row r="59" ht="15.75" customFormat="1" customHeight="1" s="172" thickBot="1">
      <c r="A59" s="161" t="inlineStr">
        <is>
          <t>Net Profit</t>
        </is>
      </c>
      <c r="B59" s="178" t="n"/>
      <c r="C59" s="178" t="n"/>
      <c r="D59" s="227" t="n">
        <v>565.5800000000008</v>
      </c>
      <c r="E59" s="178" t="n"/>
      <c r="F59" s="179" t="n"/>
      <c r="K59" s="57" t="n"/>
    </row>
    <row r="60" customFormat="1" s="172">
      <c r="A60" s="44" t="n"/>
      <c r="B60" s="44" t="n"/>
      <c r="K60" s="57" t="n"/>
    </row>
    <row r="61" customFormat="1" s="172">
      <c r="F61" s="230" t="n">
        <v>0.107141774645753</v>
      </c>
      <c r="K61" s="57" t="n"/>
    </row>
    <row r="62" ht="15.75" customFormat="1" customHeight="1" s="172">
      <c r="A62" s="45" t="n"/>
      <c r="B62" s="222">
        <f>D58-D55</f>
        <v/>
      </c>
      <c r="D62" s="222" t="n"/>
      <c r="F62" s="231" t="n"/>
      <c r="H62" s="222" t="n"/>
      <c r="K62" s="57" t="n"/>
    </row>
    <row r="63" customFormat="1" s="172">
      <c r="A63" s="47" t="n"/>
      <c r="K63" s="57" t="n"/>
    </row>
    <row r="64" customFormat="1" s="172">
      <c r="A64" s="47" t="n"/>
      <c r="K64" s="57" t="n"/>
    </row>
    <row r="65">
      <c r="K65" s="57" t="n"/>
    </row>
    <row r="66">
      <c r="K66" s="57" t="n"/>
    </row>
    <row r="67">
      <c r="K67" s="156" t="n"/>
    </row>
    <row r="68">
      <c r="K68" s="156" t="n"/>
    </row>
    <row r="69">
      <c r="K69" s="156" t="n"/>
    </row>
    <row r="70" customFormat="1" s="172">
      <c r="K70" s="156" t="n"/>
      <c r="L70" s="172" t="n"/>
    </row>
    <row r="71" customFormat="1" s="172">
      <c r="L71" s="172" t="n"/>
    </row>
  </sheetData>
  <mergeCells count="140">
    <mergeCell ref="O7:P7"/>
    <mergeCell ref="Q7:R7"/>
    <mergeCell ref="C6:D6"/>
    <mergeCell ref="Q21:R21"/>
    <mergeCell ref="B16:F16"/>
    <mergeCell ref="O12:R12"/>
    <mergeCell ref="B25:F25"/>
    <mergeCell ref="G6:L6"/>
    <mergeCell ref="A57:C57"/>
    <mergeCell ref="E8:F8"/>
    <mergeCell ref="B18:F18"/>
    <mergeCell ref="B52:F52"/>
    <mergeCell ref="G5:L5"/>
    <mergeCell ref="A7:B7"/>
    <mergeCell ref="Q51:R51"/>
    <mergeCell ref="B42:F42"/>
    <mergeCell ref="M10:N10"/>
    <mergeCell ref="G4:L4"/>
    <mergeCell ref="Q26:R26"/>
    <mergeCell ref="O6:R6"/>
    <mergeCell ref="B53:F53"/>
    <mergeCell ref="B44:F44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O11:R11"/>
    <mergeCell ref="E5:F5"/>
    <mergeCell ref="A55:C55"/>
    <mergeCell ref="Q52:R52"/>
    <mergeCell ref="C4:D4"/>
    <mergeCell ref="J7:L7"/>
    <mergeCell ref="Q54:R54"/>
    <mergeCell ref="B43:F43"/>
    <mergeCell ref="E4:F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Q42:R42"/>
    <mergeCell ref="B46:F46"/>
    <mergeCell ref="B31:F31"/>
    <mergeCell ref="M13:R13"/>
    <mergeCell ref="M9:N9"/>
    <mergeCell ref="M5:N5"/>
    <mergeCell ref="B21:F21"/>
    <mergeCell ref="B39:F39"/>
    <mergeCell ref="M11:N11"/>
    <mergeCell ref="B48:F48"/>
    <mergeCell ref="Q20:R20"/>
    <mergeCell ref="D58:F58"/>
    <mergeCell ref="Q14:R14"/>
    <mergeCell ref="B23:F23"/>
    <mergeCell ref="A12:B12"/>
    <mergeCell ref="O9:R9"/>
    <mergeCell ref="C12:D12"/>
    <mergeCell ref="E6:F6"/>
    <mergeCell ref="M12:N12"/>
    <mergeCell ref="G9:L9"/>
    <mergeCell ref="A5:B5"/>
    <mergeCell ref="Q46:R46"/>
    <mergeCell ref="O5:R5"/>
    <mergeCell ref="D59:F59"/>
    <mergeCell ref="A59:C59"/>
    <mergeCell ref="A4:B4"/>
    <mergeCell ref="G11:L11"/>
    <mergeCell ref="Q48:R48"/>
    <mergeCell ref="O4:R4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50:R50"/>
    <mergeCell ref="Q19:R19"/>
    <mergeCell ref="B14:F14"/>
    <mergeCell ref="O10:R10"/>
    <mergeCell ref="C9:D9"/>
    <mergeCell ref="E9:F9"/>
    <mergeCell ref="B29:F29"/>
    <mergeCell ref="B38:F38"/>
    <mergeCell ref="M6:N6"/>
    <mergeCell ref="P58:R58"/>
    <mergeCell ref="C11:D11"/>
    <mergeCell ref="E11:F11"/>
    <mergeCell ref="Q22:R22"/>
    <mergeCell ref="B40:F40"/>
    <mergeCell ref="G55:H55"/>
    <mergeCell ref="B49:F49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</cols>
  <sheetData>
    <row r="1">
      <c r="A1" s="232" t="inlineStr">
        <is>
          <t>RATE CONFIGURATION SNAPSHOT</t>
        </is>
      </c>
    </row>
    <row r="3">
      <c r="A3" s="233" t="inlineStr">
        <is>
          <t>Parameter</t>
        </is>
      </c>
      <c r="B3" s="233" t="inlineStr">
        <is>
          <t>Value</t>
        </is>
      </c>
      <c r="C3" s="233" t="inlineStr">
        <is>
          <t>Unit</t>
        </is>
      </c>
    </row>
    <row r="4">
      <c r="A4" s="234" t="inlineStr">
        <is>
          <t>material_rate_per_kg</t>
        </is>
      </c>
      <c r="B4" s="235" t="n">
        <v>3.5</v>
      </c>
      <c r="C4" s="234" t="inlineStr">
        <is>
          <t>AED/kg</t>
        </is>
      </c>
    </row>
    <row r="5">
      <c r="A5" s="234" t="inlineStr">
        <is>
          <t>fabrication_rate_per_kg</t>
        </is>
      </c>
      <c r="B5" s="235" t="n">
        <v>6</v>
      </c>
      <c r="C5" s="234" t="inlineStr"/>
    </row>
    <row r="6">
      <c r="A6" s="234" t="inlineStr">
        <is>
          <t>fabrication_hourly_rate</t>
        </is>
      </c>
      <c r="B6" s="235" t="n">
        <v>45</v>
      </c>
      <c r="C6" s="234" t="inlineStr">
        <is>
          <t>AED/hr</t>
        </is>
      </c>
    </row>
    <row r="7">
      <c r="A7" s="234" t="inlineStr">
        <is>
          <t>manhour_factor_hr_per_kg</t>
        </is>
      </c>
      <c r="B7" s="235" t="n">
        <v>0.15</v>
      </c>
      <c r="C7" s="234" t="inlineStr"/>
    </row>
    <row r="8">
      <c r="A8" s="234" t="inlineStr">
        <is>
          <t>welding_time_per_m_hr</t>
        </is>
      </c>
      <c r="B8" s="235" t="n">
        <v>0.8</v>
      </c>
      <c r="C8" s="234" t="inlineStr"/>
    </row>
    <row r="9">
      <c r="A9" s="234" t="inlineStr">
        <is>
          <t>welding_hourly_rate</t>
        </is>
      </c>
      <c r="B9" s="235" t="n">
        <v>45</v>
      </c>
      <c r="C9" s="234" t="inlineStr">
        <is>
          <t>AED/hr</t>
        </is>
      </c>
    </row>
    <row r="10">
      <c r="A10" s="234" t="inlineStr">
        <is>
          <t>consumable_factor_kg_per_m</t>
        </is>
      </c>
      <c r="B10" s="235" t="n">
        <v>0.12</v>
      </c>
      <c r="C10" s="234" t="inlineStr"/>
    </row>
    <row r="11">
      <c r="A11" s="234" t="inlineStr">
        <is>
          <t>consumable_unit_rate</t>
        </is>
      </c>
      <c r="B11" s="235" t="n">
        <v>15</v>
      </c>
      <c r="C11" s="234" t="inlineStr"/>
    </row>
    <row r="12">
      <c r="A12" s="234" t="inlineStr">
        <is>
          <t>cutting_rate_per_cut</t>
        </is>
      </c>
      <c r="B12" s="235" t="n">
        <v>25</v>
      </c>
      <c r="C12" s="234" t="inlineStr"/>
    </row>
    <row r="13">
      <c r="A13" s="234" t="inlineStr">
        <is>
          <t>surface_treatment_rate_per_m2</t>
        </is>
      </c>
      <c r="B13" s="235" t="n">
        <v>55</v>
      </c>
      <c r="C13" s="234" t="inlineStr">
        <is>
          <t>AED/m2</t>
        </is>
      </c>
    </row>
    <row r="14">
      <c r="A14" s="234" t="inlineStr">
        <is>
          <t>overhead_percentage</t>
        </is>
      </c>
      <c r="B14" s="235" t="n">
        <v>15</v>
      </c>
      <c r="C14" s="234" t="inlineStr">
        <is>
          <t>%</t>
        </is>
      </c>
    </row>
    <row r="15">
      <c r="A15" s="234" t="inlineStr">
        <is>
          <t>profit_margin_percentage</t>
        </is>
      </c>
      <c r="B15" s="235" t="n">
        <v>12</v>
      </c>
      <c r="C15" s="234" t="inlineStr">
        <is>
          <t>%</t>
        </is>
      </c>
    </row>
    <row r="16">
      <c r="A16" s="234" t="inlineStr">
        <is>
          <t>steel_density_kg_m3</t>
        </is>
      </c>
      <c r="B16" s="235" t="n">
        <v>7850</v>
      </c>
      <c r="C16" s="234" t="inlineStr"/>
    </row>
    <row r="17">
      <c r="A17" s="234" t="inlineStr">
        <is>
          <t>weld_length_per_joint_mm</t>
        </is>
      </c>
      <c r="B17" s="235" t="n">
        <v>150</v>
      </c>
      <c r="C17" s="234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</cols>
  <sheetData>
    <row r="1">
      <c r="A1" s="232" t="inlineStr">
        <is>
          <t>CALCULATION AUDIT TRAIL</t>
        </is>
      </c>
    </row>
    <row r="2">
      <c r="A2" s="233" t="inlineStr">
        <is>
          <t>Step / Item</t>
        </is>
      </c>
      <c r="B2" s="233" t="inlineStr">
        <is>
          <t>Status</t>
        </is>
      </c>
      <c r="C2" s="233" t="inlineStr">
        <is>
          <t>Details</t>
        </is>
      </c>
    </row>
    <row r="3">
      <c r="A3" s="236" t="inlineStr">
        <is>
          <t>CS-2620-001</t>
        </is>
      </c>
      <c r="B3" s="236" t="inlineStr">
        <is>
          <t>calculated</t>
        </is>
      </c>
      <c r="C3" s="236" t="inlineStr">
        <is>
          <t>{'total_direct_cost': 2256.72}</t>
        </is>
      </c>
    </row>
    <row r="4">
      <c r="A4" s="236" t="inlineStr">
        <is>
          <t>CS-2620-002</t>
        </is>
      </c>
      <c r="B4" s="236" t="inlineStr">
        <is>
          <t>calculated</t>
        </is>
      </c>
      <c r="C4" s="236" t="inlineStr">
        <is>
          <t>{'total_direct_cost': 1841.73}</t>
        </is>
      </c>
    </row>
    <row r="5">
      <c r="A5" s="236" t="inlineStr">
        <is>
          <t>overhead_and_margin</t>
        </is>
      </c>
      <c r="B5" s="236" t="inlineStr">
        <is>
          <t>ok</t>
        </is>
      </c>
      <c r="C5" s="236" t="inlineStr">
        <is>
          <t>{'overhead_formula': 'Overhead = DirectCost(4098.45) × 15.00% = 614.77', 'selling_formula': 'SellingPrice = TotalCost(4713.22) × (1 + 12.00%) = 5278.80'}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2026-04-22T09:12:50Z</dcterms:modified>
  <cp:lastModifiedBy>t11771</cp:lastModifiedBy>
</cp:coreProperties>
</file>