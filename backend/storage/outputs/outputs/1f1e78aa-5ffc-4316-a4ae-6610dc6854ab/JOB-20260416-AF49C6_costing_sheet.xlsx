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SUMMARY" sheetId="1" state="visible" r:id="rId1"/>
    <sheet xmlns:r="http://schemas.openxmlformats.org/officeDocument/2006/relationships" name="COSTING SHEET" sheetId="2" state="visible" r:id="rId2"/>
    <sheet xmlns:r="http://schemas.openxmlformats.org/officeDocument/2006/relationships" name="RATES &amp; CONFIG" sheetId="3" state="visible" r:id="rId3"/>
    <sheet xmlns:r="http://schemas.openxmlformats.org/officeDocument/2006/relationships" name="AUDIT TR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66666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4" fontId="8" fillId="2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 wrapText="1"/>
    </xf>
    <xf numFmtId="0" fontId="11" fillId="4" borderId="1" pivotButton="0" quotePrefix="0" xfId="0"/>
    <xf numFmtId="164" fontId="11" fillId="4" borderId="1" applyAlignment="1" pivotButton="0" quotePrefix="0" xfId="0">
      <alignment horizontal="right" vertical="center"/>
    </xf>
    <xf numFmtId="0" fontId="11" fillId="5" borderId="1" pivotButton="0" quotePrefix="0" xfId="0"/>
    <xf numFmtId="164" fontId="11" fillId="5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0" customWidth="1" min="3" max="3"/>
    <col width="20" customWidth="1" min="4" max="4"/>
  </cols>
  <sheetData>
    <row r="1" ht="35" customHeight="1">
      <c r="A1" s="1" t="inlineStr">
        <is>
          <t>JOB COST ESTIMATION SHEET</t>
        </is>
      </c>
    </row>
    <row r="2">
      <c r="A2" s="2" t="inlineStr">
        <is>
          <t>Generated: 16 April 2026 15:27</t>
        </is>
      </c>
    </row>
    <row r="4" ht="20" customHeight="1">
      <c r="A4" s="3" t="inlineStr">
        <is>
          <t>Job Number</t>
        </is>
      </c>
      <c r="B4" s="4" t="inlineStr">
        <is>
          <t>JOB-20260416-AF49C6</t>
        </is>
      </c>
    </row>
    <row r="5" ht="20" customHeight="1">
      <c r="A5" s="3" t="inlineStr">
        <is>
          <t>Client</t>
        </is>
      </c>
      <c r="B5" s="4" t="inlineStr">
        <is>
          <t>bb</t>
        </is>
      </c>
    </row>
    <row r="6" ht="20" customHeight="1">
      <c r="A6" s="3" t="inlineStr">
        <is>
          <t>Project</t>
        </is>
      </c>
      <c r="B6" s="4" t="inlineStr">
        <is>
          <t>cc</t>
        </is>
      </c>
    </row>
    <row r="7" ht="20" customHeight="1">
      <c r="A7" s="3" t="inlineStr">
        <is>
          <t>Reference</t>
        </is>
      </c>
      <c r="B7" s="4" t="inlineStr">
        <is>
          <t>cj</t>
        </is>
      </c>
    </row>
    <row r="8" ht="20" customHeight="1">
      <c r="A8" s="3" t="inlineStr">
        <is>
          <t>Currency</t>
        </is>
      </c>
      <c r="B8" s="4" t="inlineStr">
        <is>
          <t>AED</t>
        </is>
      </c>
    </row>
    <row r="9" ht="20" customHeight="1">
      <c r="A9" s="3" t="inlineStr">
        <is>
          <t>Prepared By</t>
        </is>
      </c>
      <c r="B9" s="4" t="inlineStr">
        <is>
          <t>Cost Estimator AI Agent</t>
        </is>
      </c>
    </row>
    <row r="10" ht="20" customHeight="1">
      <c r="A10" s="3" t="inlineStr">
        <is>
          <t>Date</t>
        </is>
      </c>
      <c r="B10" s="4" t="inlineStr">
        <is>
          <t>16-Apr-2026</t>
        </is>
      </c>
    </row>
    <row r="12" ht="25" customHeight="1">
      <c r="A12" s="5" t="inlineStr">
        <is>
          <t>COST SUMMARY</t>
        </is>
      </c>
    </row>
    <row r="13" ht="20" customHeight="1">
      <c r="A13" s="4" t="inlineStr">
        <is>
          <t>Total Weight (kg)</t>
        </is>
      </c>
      <c r="B13" s="6" t="n">
        <v>0</v>
      </c>
      <c r="D13" s="7" t="inlineStr">
        <is>
          <t>AED</t>
        </is>
      </c>
    </row>
    <row r="14" ht="20" customHeight="1">
      <c r="A14" s="4" t="inlineStr">
        <is>
          <t>Total Material Cost</t>
        </is>
      </c>
      <c r="B14" s="6" t="n">
        <v>0</v>
      </c>
      <c r="D14" s="7" t="inlineStr">
        <is>
          <t>AED</t>
        </is>
      </c>
    </row>
    <row r="15" ht="20" customHeight="1">
      <c r="A15" s="4" t="inlineStr">
        <is>
          <t>Total Fabrication Cost</t>
        </is>
      </c>
      <c r="B15" s="6" t="n">
        <v>0</v>
      </c>
      <c r="D15" s="7" t="inlineStr">
        <is>
          <t>AED</t>
        </is>
      </c>
    </row>
    <row r="16" ht="20" customHeight="1">
      <c r="A16" s="4" t="inlineStr">
        <is>
          <t>Total Welding Cost</t>
        </is>
      </c>
      <c r="B16" s="6" t="n">
        <v>0</v>
      </c>
      <c r="D16" s="7" t="inlineStr">
        <is>
          <t>AED</t>
        </is>
      </c>
    </row>
    <row r="17" ht="20" customHeight="1">
      <c r="A17" s="4" t="inlineStr">
        <is>
          <t>Total Consumables</t>
        </is>
      </c>
      <c r="B17" s="6" t="n">
        <v>0</v>
      </c>
      <c r="D17" s="7" t="inlineStr">
        <is>
          <t>AED</t>
        </is>
      </c>
    </row>
    <row r="18" ht="20" customHeight="1">
      <c r="A18" s="4" t="inlineStr">
        <is>
          <t>Total Cutting Cost</t>
        </is>
      </c>
      <c r="B18" s="6" t="n">
        <v>0</v>
      </c>
      <c r="D18" s="7" t="inlineStr">
        <is>
          <t>AED</t>
        </is>
      </c>
    </row>
    <row r="19" ht="20" customHeight="1">
      <c r="A19" s="4" t="inlineStr">
        <is>
          <t>Total Surface Treatment</t>
        </is>
      </c>
      <c r="B19" s="6" t="n">
        <v>0</v>
      </c>
      <c r="D19" s="7" t="inlineStr">
        <is>
          <t>AED</t>
        </is>
      </c>
    </row>
    <row r="20" ht="20" customHeight="1">
      <c r="A20" s="4" t="inlineStr">
        <is>
          <t>Total Direct Cost</t>
        </is>
      </c>
      <c r="B20" s="6" t="n">
        <v>0</v>
      </c>
      <c r="D20" s="7" t="inlineStr">
        <is>
          <t>AED</t>
        </is>
      </c>
    </row>
    <row r="21" ht="20" customHeight="1">
      <c r="A21" s="4" t="inlineStr">
        <is>
          <t>Overhead (15.0%)</t>
        </is>
      </c>
      <c r="B21" s="6" t="n">
        <v>0</v>
      </c>
      <c r="D21" s="7" t="inlineStr">
        <is>
          <t>AED</t>
        </is>
      </c>
    </row>
    <row r="22" ht="20" customHeight="1">
      <c r="A22" s="4" t="inlineStr">
        <is>
          <t>Total Cost incl. Overhead</t>
        </is>
      </c>
      <c r="B22" s="6" t="n">
        <v>0</v>
      </c>
      <c r="D22" s="7" t="inlineStr">
        <is>
          <t>AED</t>
        </is>
      </c>
    </row>
    <row r="23" ht="20" customHeight="1">
      <c r="A23" s="4" t="inlineStr">
        <is>
          <t>Profit Margin (12.0%)</t>
        </is>
      </c>
      <c r="B23" s="6" t="n">
        <v>0</v>
      </c>
      <c r="D23" s="7" t="inlineStr">
        <is>
          <t>AED</t>
        </is>
      </c>
    </row>
    <row r="24" ht="20" customHeight="1">
      <c r="A24" s="8" t="inlineStr">
        <is>
          <t>SELLING PRICE</t>
        </is>
      </c>
      <c r="B24" s="9" t="n">
        <v>0</v>
      </c>
      <c r="D24" s="7" t="inlineStr">
        <is>
          <t>AED</t>
        </is>
      </c>
    </row>
  </sheetData>
  <mergeCells count="22">
    <mergeCell ref="B16:C16"/>
    <mergeCell ref="B8:D8"/>
    <mergeCell ref="B22:C22"/>
    <mergeCell ref="B18:C18"/>
    <mergeCell ref="B10:D10"/>
    <mergeCell ref="B21:C21"/>
    <mergeCell ref="B23:C23"/>
    <mergeCell ref="B9:D9"/>
    <mergeCell ref="B14:C14"/>
    <mergeCell ref="B17:C17"/>
    <mergeCell ref="B6:D6"/>
    <mergeCell ref="B13:C13"/>
    <mergeCell ref="A1:D1"/>
    <mergeCell ref="B5:D5"/>
    <mergeCell ref="B19:C19"/>
    <mergeCell ref="B4:D4"/>
    <mergeCell ref="B7:D7"/>
    <mergeCell ref="B24:C24"/>
    <mergeCell ref="B15:C15"/>
    <mergeCell ref="A12:D12"/>
    <mergeCell ref="B20:C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35" customHeight="1">
      <c r="A1" s="10" t="inlineStr">
        <is>
          <t>DETAILED JOB COST ESTIMATION — LINE ITEMS</t>
        </is>
      </c>
    </row>
    <row r="2" ht="20" customHeight="1">
      <c r="A2" s="11" t="inlineStr">
        <is>
          <t>Job: JOB-20260416-AF49C6</t>
        </is>
      </c>
      <c r="E2" s="11" t="inlineStr">
        <is>
          <t>Client: bb</t>
        </is>
      </c>
      <c r="I2" s="11" t="inlineStr">
        <is>
          <t>Project: cc</t>
        </is>
      </c>
    </row>
    <row r="4" ht="40" customHeight="1">
      <c r="A4" s="12" t="inlineStr">
        <is>
          <t>S.No</t>
        </is>
      </c>
      <c r="B4" s="12" t="inlineStr">
        <is>
          <t>Description</t>
        </is>
      </c>
      <c r="C4" s="12" t="inlineStr">
        <is>
          <t>Section
Type</t>
        </is>
      </c>
      <c r="D4" s="12" t="inlineStr">
        <is>
          <t>Qty</t>
        </is>
      </c>
      <c r="E4" s="12" t="inlineStr">
        <is>
          <t>Weight
(kg)</t>
        </is>
      </c>
      <c r="F4" s="12" t="inlineStr">
        <is>
          <t>Mat. Cost</t>
        </is>
      </c>
      <c r="G4" s="12" t="inlineStr">
        <is>
          <t>Fab. Cost</t>
        </is>
      </c>
      <c r="H4" s="12" t="inlineStr">
        <is>
          <t>Manhours</t>
        </is>
      </c>
      <c r="I4" s="12" t="inlineStr">
        <is>
          <t>Weld
Length (m)</t>
        </is>
      </c>
      <c r="J4" s="12" t="inlineStr">
        <is>
          <t>Welding
MH</t>
        </is>
      </c>
      <c r="K4" s="12" t="inlineStr">
        <is>
          <t>Weld
Cost</t>
        </is>
      </c>
      <c r="L4" s="12" t="inlineStr">
        <is>
          <t>Consumables</t>
        </is>
      </c>
      <c r="M4" s="12" t="inlineStr">
        <is>
          <t>Cutting
Cost</t>
        </is>
      </c>
      <c r="N4" s="12" t="inlineStr">
        <is>
          <t>Surface
Area (m²)</t>
        </is>
      </c>
      <c r="O4" s="12" t="inlineStr">
        <is>
          <t>Surface
Treatment</t>
        </is>
      </c>
    </row>
    <row r="6" ht="22" customHeight="1">
      <c r="A6" s="13" t="inlineStr">
        <is>
          <t>TOTALS</t>
        </is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</row>
    <row r="8" ht="22" customHeight="1">
      <c r="A8" s="15" t="inlineStr">
        <is>
          <t>COST SUMMARY</t>
        </is>
      </c>
    </row>
    <row r="9" ht="20" customHeight="1">
      <c r="E9" s="4" t="inlineStr">
        <is>
          <t>Total Material Cost</t>
        </is>
      </c>
      <c r="F9" s="6">
        <f>F6</f>
        <v/>
      </c>
      <c r="H9" s="16" t="inlineStr">
        <is>
          <t>AED</t>
        </is>
      </c>
    </row>
    <row r="10" ht="20" customHeight="1">
      <c r="E10" s="4" t="inlineStr">
        <is>
          <t>Total Fabrication Cost</t>
        </is>
      </c>
      <c r="F10" s="6">
        <f>G6</f>
        <v/>
      </c>
      <c r="H10" s="16" t="inlineStr">
        <is>
          <t>AED</t>
        </is>
      </c>
    </row>
    <row r="11" ht="20" customHeight="1">
      <c r="E11" s="4" t="inlineStr">
        <is>
          <t>Total Welding Cost</t>
        </is>
      </c>
      <c r="F11" s="6">
        <f>K6</f>
        <v/>
      </c>
      <c r="H11" s="16" t="inlineStr">
        <is>
          <t>AED</t>
        </is>
      </c>
    </row>
    <row r="12" ht="20" customHeight="1">
      <c r="E12" s="4" t="inlineStr">
        <is>
          <t>Total Consumables</t>
        </is>
      </c>
      <c r="F12" s="6">
        <f>L6</f>
        <v/>
      </c>
      <c r="H12" s="16" t="inlineStr">
        <is>
          <t>AED</t>
        </is>
      </c>
    </row>
    <row r="13" ht="20" customHeight="1">
      <c r="E13" s="4" t="inlineStr">
        <is>
          <t>Total Cutting Cost</t>
        </is>
      </c>
      <c r="F13" s="6">
        <f>M6</f>
        <v/>
      </c>
      <c r="H13" s="16" t="inlineStr">
        <is>
          <t>AED</t>
        </is>
      </c>
    </row>
    <row r="14" ht="20" customHeight="1">
      <c r="E14" s="4" t="inlineStr">
        <is>
          <t>Total Surface Treatment</t>
        </is>
      </c>
      <c r="F14" s="6">
        <f>O6</f>
        <v/>
      </c>
      <c r="H14" s="16" t="inlineStr">
        <is>
          <t>AED</t>
        </is>
      </c>
    </row>
    <row r="15" ht="20" customHeight="1">
      <c r="E15" s="3" t="inlineStr">
        <is>
          <t>TOTAL DIRECT COST</t>
        </is>
      </c>
      <c r="F15" s="17">
        <f>F6+G6+K6+L6+M6+O6</f>
        <v/>
      </c>
      <c r="H15" s="16" t="inlineStr">
        <is>
          <t>AED</t>
        </is>
      </c>
    </row>
    <row r="16" ht="20" customHeight="1">
      <c r="E16" s="4" t="inlineStr">
        <is>
          <t>Overhead (15.0%)</t>
        </is>
      </c>
      <c r="F16" s="6">
        <f>G14*0.15</f>
        <v/>
      </c>
      <c r="H16" s="16" t="inlineStr">
        <is>
          <t>AED</t>
        </is>
      </c>
    </row>
    <row r="17" ht="20" customHeight="1">
      <c r="E17" s="4" t="inlineStr">
        <is>
          <t>Total Cost incl. Overhead</t>
        </is>
      </c>
      <c r="F17" s="6">
        <f>G14+G15</f>
        <v/>
      </c>
      <c r="H17" s="16" t="inlineStr">
        <is>
          <t>AED</t>
        </is>
      </c>
    </row>
    <row r="18" ht="20" customHeight="1">
      <c r="E18" s="4" t="inlineStr">
        <is>
          <t>Profit Margin (12.0%)</t>
        </is>
      </c>
      <c r="F18" s="6">
        <f>G16*0.12</f>
        <v/>
      </c>
      <c r="H18" s="16" t="inlineStr">
        <is>
          <t>AED</t>
        </is>
      </c>
    </row>
    <row r="19" ht="20" customHeight="1">
      <c r="E19" s="8" t="inlineStr">
        <is>
          <t>SELLING PRICE</t>
        </is>
      </c>
      <c r="F19" s="9">
        <f>G16+G17</f>
        <v/>
      </c>
      <c r="H19" s="16" t="inlineStr">
        <is>
          <t>AED</t>
        </is>
      </c>
    </row>
  </sheetData>
  <mergeCells count="17">
    <mergeCell ref="F11:G11"/>
    <mergeCell ref="F12:G12"/>
    <mergeCell ref="A8:D8"/>
    <mergeCell ref="A6:D6"/>
    <mergeCell ref="F15:G15"/>
    <mergeCell ref="F10:G10"/>
    <mergeCell ref="F16:G16"/>
    <mergeCell ref="F19:G19"/>
    <mergeCell ref="F18:G18"/>
    <mergeCell ref="A1:O1"/>
    <mergeCell ref="F17:G17"/>
    <mergeCell ref="F14:G14"/>
    <mergeCell ref="A2:D2"/>
    <mergeCell ref="F13:G13"/>
    <mergeCell ref="I2:O2"/>
    <mergeCell ref="E2:H2"/>
    <mergeCell ref="F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30" customWidth="1" min="4" max="4"/>
  </cols>
  <sheetData>
    <row r="1" ht="30" customHeight="1">
      <c r="A1" s="18" t="inlineStr">
        <is>
          <t>RATE CONFIGURATION (Snapshot at time of calculation)</t>
        </is>
      </c>
    </row>
    <row r="3" ht="22" customHeight="1">
      <c r="A3" s="13" t="inlineStr">
        <is>
          <t>Parameter</t>
        </is>
      </c>
      <c r="B3" s="13" t="inlineStr">
        <is>
          <t>Value</t>
        </is>
      </c>
      <c r="C3" s="13" t="inlineStr">
        <is>
          <t>Unit</t>
        </is>
      </c>
      <c r="D3" s="13" t="inlineStr">
        <is>
          <t>Description</t>
        </is>
      </c>
    </row>
    <row r="4" ht="18" customHeight="1">
      <c r="A4" s="19" t="inlineStr">
        <is>
          <t>Material Rate</t>
        </is>
      </c>
      <c r="B4" s="20" t="n">
        <v>3.5</v>
      </c>
      <c r="C4" s="19" t="inlineStr">
        <is>
          <t>AED/kg</t>
        </is>
      </c>
      <c r="D4" s="19" t="inlineStr">
        <is>
          <t>Steel material rate per kg</t>
        </is>
      </c>
    </row>
    <row r="5" ht="18" customHeight="1">
      <c r="A5" s="21" t="inlineStr">
        <is>
          <t>Fabrication Rate (weight)</t>
        </is>
      </c>
      <c r="B5" s="22" t="n">
        <v>6</v>
      </c>
      <c r="C5" s="21" t="inlineStr">
        <is>
          <t>AED/kg</t>
        </is>
      </c>
      <c r="D5" s="21" t="inlineStr">
        <is>
          <t>Weight-based fabrication rate</t>
        </is>
      </c>
    </row>
    <row r="6" ht="18" customHeight="1">
      <c r="A6" s="19" t="inlineStr">
        <is>
          <t>Fabrication Hourly Rate</t>
        </is>
      </c>
      <c r="B6" s="20" t="n">
        <v>45</v>
      </c>
      <c r="C6" s="19" t="inlineStr">
        <is>
          <t>AED/hr</t>
        </is>
      </c>
      <c r="D6" s="19" t="inlineStr">
        <is>
          <t>Manhour-based fabrication rate</t>
        </is>
      </c>
    </row>
    <row r="7" ht="18" customHeight="1">
      <c r="A7" s="21" t="inlineStr">
        <is>
          <t>Manhour Factor</t>
        </is>
      </c>
      <c r="B7" s="22" t="n">
        <v>0.15</v>
      </c>
      <c r="C7" s="21" t="inlineStr">
        <is>
          <t>hr/kg</t>
        </is>
      </c>
      <c r="D7" s="21" t="inlineStr">
        <is>
          <t>Fabrication manhours per kg of steel</t>
        </is>
      </c>
    </row>
    <row r="8" ht="18" customHeight="1">
      <c r="A8" s="19" t="inlineStr">
        <is>
          <t>Welding Time</t>
        </is>
      </c>
      <c r="B8" s="20" t="n">
        <v>0.8</v>
      </c>
      <c r="C8" s="19" t="inlineStr">
        <is>
          <t>hr/m</t>
        </is>
      </c>
      <c r="D8" s="19" t="inlineStr">
        <is>
          <t>Welding manhours per meter of weld</t>
        </is>
      </c>
    </row>
    <row r="9" ht="18" customHeight="1">
      <c r="A9" s="21" t="inlineStr">
        <is>
          <t>Welding Hourly Rate</t>
        </is>
      </c>
      <c r="B9" s="22" t="n">
        <v>45</v>
      </c>
      <c r="C9" s="21" t="inlineStr">
        <is>
          <t>AED/hr</t>
        </is>
      </c>
      <c r="D9" s="21" t="inlineStr">
        <is>
          <t>Welding labor rate</t>
        </is>
      </c>
    </row>
    <row r="10" ht="18" customHeight="1">
      <c r="A10" s="19" t="inlineStr">
        <is>
          <t>Consumable Factor</t>
        </is>
      </c>
      <c r="B10" s="20" t="n">
        <v>0.12</v>
      </c>
      <c r="C10" s="19" t="inlineStr">
        <is>
          <t>kg/m</t>
        </is>
      </c>
      <c r="D10" s="19" t="inlineStr">
        <is>
          <t>Welding consumables per meter of weld</t>
        </is>
      </c>
    </row>
    <row r="11" ht="18" customHeight="1">
      <c r="A11" s="21" t="inlineStr">
        <is>
          <t>Consumable Unit Rate</t>
        </is>
      </c>
      <c r="B11" s="22" t="n">
        <v>15</v>
      </c>
      <c r="C11" s="21" t="inlineStr">
        <is>
          <t>AED/kg</t>
        </is>
      </c>
      <c r="D11" s="21" t="inlineStr">
        <is>
          <t>Rate for welding consumables</t>
        </is>
      </c>
    </row>
    <row r="12" ht="18" customHeight="1">
      <c r="A12" s="19" t="inlineStr">
        <is>
          <t>Cutting Rate</t>
        </is>
      </c>
      <c r="B12" s="20" t="n">
        <v>25</v>
      </c>
      <c r="C12" s="19" t="inlineStr">
        <is>
          <t>AED/cut</t>
        </is>
      </c>
      <c r="D12" s="19" t="inlineStr">
        <is>
          <t>Rate per cut/saw cut</t>
        </is>
      </c>
    </row>
    <row r="13" ht="18" customHeight="1">
      <c r="A13" s="21" t="inlineStr">
        <is>
          <t>Surface Treatment Rate</t>
        </is>
      </c>
      <c r="B13" s="22" t="n">
        <v>55</v>
      </c>
      <c r="C13" s="21" t="inlineStr">
        <is>
          <t>AED/m²</t>
        </is>
      </c>
      <c r="D13" s="21" t="inlineStr">
        <is>
          <t>Blast &amp; prime or painting rate</t>
        </is>
      </c>
    </row>
    <row r="14" ht="18" customHeight="1">
      <c r="A14" s="19" t="inlineStr">
        <is>
          <t>Overhead %</t>
        </is>
      </c>
      <c r="B14" s="20" t="n">
        <v>15</v>
      </c>
      <c r="C14" s="19" t="inlineStr">
        <is>
          <t>%</t>
        </is>
      </c>
      <c r="D14" s="19" t="inlineStr">
        <is>
          <t>Overhead percentage on direct cost</t>
        </is>
      </c>
    </row>
    <row r="15" ht="18" customHeight="1">
      <c r="A15" s="21" t="inlineStr">
        <is>
          <t>Profit Margin %</t>
        </is>
      </c>
      <c r="B15" s="22" t="n">
        <v>12</v>
      </c>
      <c r="C15" s="21" t="inlineStr">
        <is>
          <t>%</t>
        </is>
      </c>
      <c r="D15" s="21" t="inlineStr">
        <is>
          <t>Net profit margin on total cost</t>
        </is>
      </c>
    </row>
    <row r="16" ht="18" customHeight="1">
      <c r="A16" s="19" t="inlineStr">
        <is>
          <t>Steel Density</t>
        </is>
      </c>
      <c r="B16" s="20" t="n">
        <v>7850</v>
      </c>
      <c r="C16" s="19" t="inlineStr">
        <is>
          <t>kg/m³</t>
        </is>
      </c>
      <c r="D16" s="19" t="inlineStr">
        <is>
          <t>Default steel density</t>
        </is>
      </c>
    </row>
    <row r="17" ht="18" customHeight="1">
      <c r="A17" s="21" t="inlineStr">
        <is>
          <t>Weld Length/Joint</t>
        </is>
      </c>
      <c r="B17" s="22" t="n">
        <v>150</v>
      </c>
      <c r="C17" s="21" t="inlineStr">
        <is>
          <t>mm</t>
        </is>
      </c>
      <c r="D17" s="21" t="inlineStr">
        <is>
          <t>Default weld length per joint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</cols>
  <sheetData>
    <row r="1" ht="30" customHeight="1">
      <c r="A1" s="18" t="inlineStr">
        <is>
          <t>CALCULATION AUDIT TRAIL</t>
        </is>
      </c>
    </row>
    <row r="2">
      <c r="A2" s="13" t="inlineStr">
        <is>
          <t>Step / Item</t>
        </is>
      </c>
      <c r="B2" s="13" t="inlineStr">
        <is>
          <t>Status</t>
        </is>
      </c>
      <c r="C2" s="13" t="inlineStr">
        <is>
          <t>Details</t>
        </is>
      </c>
    </row>
    <row r="3" ht="16" customHeight="1">
      <c r="A3" s="23" t="inlineStr">
        <is>
          <t>ITEM-1</t>
        </is>
      </c>
      <c r="B3" s="23" t="inlineStr">
        <is>
          <t>error</t>
        </is>
      </c>
      <c r="C3" s="23" t="inlineStr">
        <is>
          <t>{'error': "'NoneType' object has no attribute 'lower'"}</t>
        </is>
      </c>
    </row>
    <row r="4" ht="16" customHeight="1">
      <c r="A4" s="23" t="inlineStr">
        <is>
          <t>ITEM-1</t>
        </is>
      </c>
      <c r="B4" s="23" t="inlineStr">
        <is>
          <t>error</t>
        </is>
      </c>
      <c r="C4" s="23" t="inlineStr">
        <is>
          <t>{'error': "'NoneType' object has no attribute 'lower'"}</t>
        </is>
      </c>
    </row>
    <row r="5" ht="16" customHeight="1">
      <c r="A5" s="23" t="inlineStr">
        <is>
          <t>ITEM-1</t>
        </is>
      </c>
      <c r="B5" s="23" t="inlineStr">
        <is>
          <t>error</t>
        </is>
      </c>
      <c r="C5" s="23" t="inlineStr">
        <is>
          <t>{'error': "'NoneType' object has no attribute 'lower'"}</t>
        </is>
      </c>
    </row>
    <row r="6" ht="16" customHeight="1">
      <c r="A6" s="23" t="inlineStr">
        <is>
          <t>CS-2620-001</t>
        </is>
      </c>
      <c r="B6" s="23" t="inlineStr">
        <is>
          <t>error</t>
        </is>
      </c>
      <c r="C6" s="23" t="inlineStr">
        <is>
          <t>{'error': "'NoneType' object has no attribute 'lower'"}</t>
        </is>
      </c>
    </row>
    <row r="7" ht="16" customHeight="1">
      <c r="A7" s="23" t="inlineStr">
        <is>
          <t>CS-2620-002 &amp; CS-2620-003</t>
        </is>
      </c>
      <c r="B7" s="23" t="inlineStr">
        <is>
          <t>error</t>
        </is>
      </c>
      <c r="C7" s="23" t="inlineStr">
        <is>
          <t>{'error': "'NoneType' object has no attribute 'lower'"}</t>
        </is>
      </c>
    </row>
    <row r="8" ht="16" customHeight="1">
      <c r="A8" s="23" t="inlineStr">
        <is>
          <t>overhead_and_margin</t>
        </is>
      </c>
      <c r="B8" s="23" t="inlineStr">
        <is>
          <t>overhead_and_margin</t>
        </is>
      </c>
      <c r="C8" s="23" t="inlineStr">
        <is>
          <t>{'overhead_formula': 'Overhead = DirectCost(0.00) × 15.0% = 0.00', 'selling_formula': 'SellingPrice = TotalCost(0.00) × (1 + 12.0%) = 0.00'}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2026-04-16T09:57:41Z</dcterms:created>
  <dcterms:modified xmlns:dcterms="http://purl.org/dc/terms/" xmlns:xsi="http://www.w3.org/2001/XMLSchema-instance" xsi:type="dcterms:W3CDTF">2026-04-16T09:57:41Z</dcterms:modified>
</cp:coreProperties>
</file>