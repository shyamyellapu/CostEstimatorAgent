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5" yWindow="1425" windowWidth="21600" windowHeight="11295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37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6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166" fontId="20" fillId="3" borderId="25" applyAlignment="1" pivotButton="0" quotePrefix="0" xfId="6">
      <alignment horizontal="left" vertical="center"/>
    </xf>
    <xf numFmtId="0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6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164" fontId="20" fillId="3" borderId="26" applyAlignment="1" pivotButton="0" quotePrefix="0" xfId="4">
      <alignment horizontal="center" vertical="center"/>
    </xf>
    <xf numFmtId="43" fontId="0" fillId="0" borderId="0" pivotButton="0" quotePrefix="0" xfId="0"/>
    <xf numFmtId="166" fontId="20" fillId="0" borderId="31" applyAlignment="1" pivotButton="0" quotePrefix="0" xfId="6">
      <alignment horizontal="left" vertical="center"/>
    </xf>
    <xf numFmtId="4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J48" sqref="J48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JOB-20260420-0AC5AB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/>
      <c r="D4" s="176" t="n"/>
      <c r="E4" s="71" t="inlineStr">
        <is>
          <t>DATE</t>
        </is>
      </c>
      <c r="F4" s="181" t="n"/>
      <c r="G4" s="182" t="inlineStr">
        <is>
          <t>2026-04-20</t>
        </is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/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n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JOB-20260420-0AC5AB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n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inlineStr"/>
      <c r="D7" s="103" t="n"/>
      <c r="E7" s="183" t="inlineStr">
        <is>
          <t>MODULE WORK</t>
        </is>
      </c>
      <c r="F7" s="181" t="n"/>
      <c r="G7" s="100" t="inlineStr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>Structural Steel Material</t>
        </is>
      </c>
      <c r="C23" s="205" t="n"/>
      <c r="D23" s="205" t="n"/>
      <c r="E23" s="205" t="n"/>
      <c r="F23" s="210" t="n"/>
      <c r="G23" s="211" t="n">
        <v>122.0644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</t>
        </is>
      </c>
      <c r="C24" s="205" t="n"/>
      <c r="D24" s="205" t="n"/>
      <c r="E24" s="205" t="n"/>
      <c r="F24" s="210" t="n"/>
      <c r="G24" s="209" t="inlineStr"/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2" t="inlineStr">
        <is>
          <t>Paint Material</t>
        </is>
      </c>
      <c r="C25" s="213" t="n"/>
      <c r="D25" s="213" t="n"/>
      <c r="E25" s="213" t="n"/>
      <c r="F25" s="214" t="n"/>
      <c r="G25" s="209" t="inlineStr"/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5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6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7" t="inlineStr">
        <is>
          <t>Structural Welding consumables</t>
        </is>
      </c>
      <c r="C29" s="205" t="n"/>
      <c r="D29" s="205" t="n"/>
      <c r="E29" s="205" t="n"/>
      <c r="F29" s="204" t="n"/>
      <c r="G29" s="209" t="n"/>
      <c r="H29" s="24" t="inlineStr">
        <is>
          <t>Hrs</t>
        </is>
      </c>
      <c r="I29" s="218" t="n">
        <v>54</v>
      </c>
      <c r="J29" s="31" t="n">
        <v>45</v>
      </c>
      <c r="K29" s="26">
        <f>I29*J29</f>
        <v/>
      </c>
      <c r="L29" s="27" t="n"/>
      <c r="M29" s="17" t="n"/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7" t="inlineStr">
        <is>
          <t>Structural Fabrication labour</t>
        </is>
      </c>
      <c r="C30" s="205" t="n"/>
      <c r="D30" s="205" t="n"/>
      <c r="E30" s="205" t="n"/>
      <c r="F30" s="204" t="n"/>
      <c r="G30" s="209" t="n"/>
      <c r="H30" s="24" t="inlineStr">
        <is>
          <t>Hrs</t>
        </is>
      </c>
      <c r="I30" s="218" t="n">
        <v>18.3097</v>
      </c>
      <c r="J30" s="31" t="n">
        <v>45</v>
      </c>
      <c r="K30" s="26">
        <f>I30*J30</f>
        <v/>
      </c>
      <c r="L30" s="27" t="n"/>
      <c r="M30" s="17" t="n"/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1" t="inlineStr">
        <is>
          <t xml:space="preserve">Hydrotesting </t>
        </is>
      </c>
      <c r="C31" s="219" t="n"/>
      <c r="D31" s="219" t="n"/>
      <c r="E31" s="219" t="n"/>
      <c r="F31" s="219" t="n"/>
      <c r="G31" s="220" t="n"/>
      <c r="H31" s="24" t="inlineStr">
        <is>
          <t>Inch Dia</t>
        </is>
      </c>
      <c r="I31" s="221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7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n"/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/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7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2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20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2" t="n"/>
    </row>
    <row r="37" ht="15" customHeight="1">
      <c r="A37" s="29" t="n">
        <v>10.1</v>
      </c>
      <c r="B37" s="217" t="inlineStr">
        <is>
          <t>10% MPI/DPT</t>
        </is>
      </c>
      <c r="C37" s="205" t="n"/>
      <c r="D37" s="205" t="n"/>
      <c r="E37" s="205" t="n"/>
      <c r="F37" s="204" t="n"/>
      <c r="G37" s="220" t="n"/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7" t="inlineStr">
        <is>
          <t>Galvanizing Work</t>
        </is>
      </c>
      <c r="C39" s="205" t="n"/>
      <c r="D39" s="205" t="n"/>
      <c r="E39" s="205" t="n"/>
      <c r="F39" s="205" t="n"/>
      <c r="G39" s="206" t="inlineStr"/>
      <c r="H39" s="24" t="inlineStr">
        <is>
          <t>Kg</t>
        </is>
      </c>
      <c r="I39" s="24" t="n"/>
      <c r="J39" s="25" t="n">
        <v>2000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3" t="inlineStr">
        <is>
          <t>Blasting (3.56 Sq M)</t>
        </is>
      </c>
      <c r="C40" s="205" t="n"/>
      <c r="D40" s="205" t="n"/>
      <c r="E40" s="205" t="n"/>
      <c r="F40" s="205" t="n"/>
      <c r="G40" s="223" t="n">
        <v>3.5599088</v>
      </c>
      <c r="H40" s="35" t="inlineStr">
        <is>
          <t>SQM</t>
        </is>
      </c>
      <c r="I40" s="37" t="n"/>
      <c r="J40" s="31" t="n">
        <v>55</v>
      </c>
      <c r="K40" s="26">
        <f>G40*J40</f>
        <v/>
      </c>
      <c r="L40" s="27" t="n"/>
      <c r="M40" s="17" t="n"/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3" t="inlineStr">
        <is>
          <t>Painting (3.56 Sq M)</t>
        </is>
      </c>
      <c r="C41" s="205" t="n"/>
      <c r="D41" s="205" t="n"/>
      <c r="E41" s="205" t="n"/>
      <c r="F41" s="205" t="n"/>
      <c r="G41" s="223" t="n">
        <v>3.5599088</v>
      </c>
      <c r="H41" s="35" t="inlineStr">
        <is>
          <t>SQM</t>
        </is>
      </c>
      <c r="I41" s="37" t="n"/>
      <c r="J41" s="31" t="n">
        <v>55</v>
      </c>
      <c r="K41" s="26">
        <f>G41*J41</f>
        <v/>
      </c>
      <c r="L41" s="27" t="n"/>
      <c r="M41" s="17" t="n"/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QA/QC Documentation &amp; Certification</t>
        </is>
      </c>
      <c r="C43" s="205" t="n"/>
      <c r="D43" s="205" t="n"/>
      <c r="E43" s="205" t="n"/>
      <c r="F43" s="205" t="n"/>
      <c r="G43" s="206" t="n"/>
      <c r="H43" s="24" t="inlineStr">
        <is>
          <t>lot</t>
        </is>
      </c>
      <c r="I43" s="24" t="n"/>
      <c r="J43" s="25" t="n">
        <v>3000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/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Permits, Licenses &amp; Regulatory Fees</t>
        </is>
      </c>
      <c r="C46" s="205" t="n"/>
      <c r="D46" s="205" t="n"/>
      <c r="E46" s="205" t="n"/>
      <c r="F46" s="205" t="n"/>
      <c r="G46" s="206" t="n"/>
      <c r="H46" s="24" t="inlineStr">
        <is>
          <t>Nos</t>
        </is>
      </c>
      <c r="I46" s="24" t="n"/>
      <c r="J46" s="25" t="n"/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Equipment Rental &amp; Maintenance</t>
        </is>
      </c>
      <c r="C47" s="205" t="n"/>
      <c r="D47" s="205" t="n"/>
      <c r="E47" s="205" t="n"/>
      <c r="F47" s="205" t="n"/>
      <c r="G47" s="206" t="n"/>
      <c r="H47" s="24" t="inlineStr">
        <is>
          <t>lot</t>
        </is>
      </c>
      <c r="I47" s="24" t="n"/>
      <c r="J47" s="25" t="n"/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1" t="inlineStr">
        <is>
          <t>Total cost</t>
        </is>
      </c>
      <c r="B55" s="174" t="n"/>
      <c r="C55" s="174" t="n"/>
      <c r="D55" s="224" t="n">
        <v>4098.46</v>
      </c>
      <c r="E55" s="174" t="n"/>
      <c r="F55" s="175" t="n"/>
      <c r="G55" s="156" t="inlineStr">
        <is>
          <t>ESTIMATION
 ENGR.</t>
        </is>
      </c>
      <c r="I55" s="156" t="n"/>
      <c r="J55" s="68" t="inlineStr">
        <is>
          <t>Sachin Ahire</t>
        </is>
      </c>
      <c r="K55" s="56" t="n"/>
      <c r="L55" s="73" t="n"/>
      <c r="M55" s="157" t="inlineStr">
        <is>
          <t>PLANNING
 ENGR.</t>
        </is>
      </c>
      <c r="N55" s="174" t="n"/>
      <c r="O55" s="174" t="n"/>
      <c r="P55" s="225" t="inlineStr">
        <is>
          <t>Sachin Ahire</t>
        </is>
      </c>
      <c r="Q55" s="174" t="n"/>
      <c r="R55" s="175" t="n"/>
    </row>
    <row r="56" ht="24.6" customHeight="1" thickBot="1">
      <c r="A56" s="145" t="inlineStr">
        <is>
          <t xml:space="preserve">19.Overheads </t>
        </is>
      </c>
      <c r="B56" s="176" t="n"/>
      <c r="C56" s="176" t="n"/>
      <c r="D56" s="226" t="n">
        <v>614.77</v>
      </c>
      <c r="E56" s="176" t="n"/>
      <c r="F56" s="181" t="n"/>
      <c r="G56" s="150" t="inlineStr">
        <is>
          <t>MANAGER:</t>
        </is>
      </c>
      <c r="H56" s="176" t="n"/>
      <c r="I56" s="150" t="n"/>
      <c r="J56" s="68" t="inlineStr">
        <is>
          <t>Subash Valrani</t>
        </is>
      </c>
      <c r="K56" s="56" t="n"/>
      <c r="L56" s="73" t="n"/>
      <c r="M56" s="150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1" t="inlineStr">
        <is>
          <t>GRAND TOTAL</t>
        </is>
      </c>
      <c r="B57" s="178" t="n"/>
      <c r="C57" s="178" t="n"/>
      <c r="D57" s="227" t="n">
        <v>4713.23</v>
      </c>
      <c r="E57" s="178" t="n"/>
      <c r="F57" s="179" t="n"/>
      <c r="G57" s="168" t="n"/>
      <c r="H57" s="168" t="n"/>
      <c r="I57" s="168" t="n"/>
      <c r="J57" s="68" t="n"/>
      <c r="K57" s="56" t="n"/>
      <c r="L57" s="73" t="n"/>
      <c r="M57" s="228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1" t="inlineStr">
        <is>
          <t>Selling Price</t>
        </is>
      </c>
      <c r="B58" s="178" t="n"/>
      <c r="C58" s="178" t="n"/>
      <c r="D58" s="227" t="n">
        <v>5278.82</v>
      </c>
      <c r="E58" s="178" t="n"/>
      <c r="F58" s="179" t="n"/>
      <c r="G58" s="168" t="n"/>
      <c r="H58" s="178" t="n"/>
      <c r="I58" s="168" t="n"/>
      <c r="J58" s="68" t="n"/>
      <c r="K58" s="56" t="n"/>
      <c r="L58" s="73" t="n"/>
      <c r="M58" s="183" t="n"/>
      <c r="N58" s="176" t="n"/>
      <c r="O58" s="181" t="n"/>
      <c r="P58" s="229" t="n"/>
      <c r="Q58" s="178" t="n"/>
      <c r="R58" s="179" t="n"/>
    </row>
    <row r="59" ht="15.75" customFormat="1" customHeight="1" s="172" thickBot="1">
      <c r="A59" s="161" t="inlineStr">
        <is>
          <t>Net Profit</t>
        </is>
      </c>
      <c r="B59" s="178" t="n"/>
      <c r="C59" s="178" t="n"/>
      <c r="D59" s="227" t="n">
        <v>565.5900000000001</v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230" t="n">
        <v>0.1071432630777333</v>
      </c>
      <c r="K61" s="57" t="n"/>
    </row>
    <row r="62" ht="15.75" customFormat="1" customHeight="1" s="172">
      <c r="A62" s="45" t="n"/>
      <c r="B62" s="222">
        <f>D58-D55</f>
        <v/>
      </c>
      <c r="D62" s="222" t="n"/>
      <c r="F62" s="231" t="n"/>
      <c r="H62" s="222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6" t="n"/>
    </row>
    <row r="68">
      <c r="K68" s="156" t="n"/>
    </row>
    <row r="69">
      <c r="K69" s="156" t="n"/>
    </row>
    <row r="70" customFormat="1" s="172">
      <c r="K70" s="156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</cols>
  <sheetData>
    <row r="1">
      <c r="A1" s="232" t="inlineStr">
        <is>
          <t>RATE CONFIGURATION SNAPSHOT</t>
        </is>
      </c>
    </row>
    <row r="3">
      <c r="A3" s="233" t="inlineStr">
        <is>
          <t>Parameter</t>
        </is>
      </c>
      <c r="B3" s="233" t="inlineStr">
        <is>
          <t>Value</t>
        </is>
      </c>
      <c r="C3" s="233" t="inlineStr">
        <is>
          <t>Unit</t>
        </is>
      </c>
    </row>
    <row r="4">
      <c r="A4" s="234" t="inlineStr">
        <is>
          <t>material_rate_per_kg</t>
        </is>
      </c>
      <c r="B4" s="235" t="n">
        <v>3.5</v>
      </c>
      <c r="C4" s="234" t="inlineStr">
        <is>
          <t>AED/kg</t>
        </is>
      </c>
    </row>
    <row r="5">
      <c r="A5" s="234" t="inlineStr">
        <is>
          <t>fabrication_rate_per_kg</t>
        </is>
      </c>
      <c r="B5" s="235" t="n">
        <v>6</v>
      </c>
      <c r="C5" s="234" t="inlineStr"/>
    </row>
    <row r="6">
      <c r="A6" s="234" t="inlineStr">
        <is>
          <t>fabrication_hourly_rate</t>
        </is>
      </c>
      <c r="B6" s="235" t="n">
        <v>45</v>
      </c>
      <c r="C6" s="234" t="inlineStr">
        <is>
          <t>AED/hr</t>
        </is>
      </c>
    </row>
    <row r="7">
      <c r="A7" s="234" t="inlineStr">
        <is>
          <t>manhour_factor_hr_per_kg</t>
        </is>
      </c>
      <c r="B7" s="235" t="n">
        <v>0.15</v>
      </c>
      <c r="C7" s="234" t="inlineStr"/>
    </row>
    <row r="8">
      <c r="A8" s="234" t="inlineStr">
        <is>
          <t>welding_time_per_m_hr</t>
        </is>
      </c>
      <c r="B8" s="235" t="n">
        <v>0.8</v>
      </c>
      <c r="C8" s="234" t="inlineStr"/>
    </row>
    <row r="9">
      <c r="A9" s="234" t="inlineStr">
        <is>
          <t>welding_hourly_rate</t>
        </is>
      </c>
      <c r="B9" s="235" t="n">
        <v>45</v>
      </c>
      <c r="C9" s="234" t="inlineStr">
        <is>
          <t>AED/hr</t>
        </is>
      </c>
    </row>
    <row r="10">
      <c r="A10" s="234" t="inlineStr">
        <is>
          <t>consumable_factor_kg_per_m</t>
        </is>
      </c>
      <c r="B10" s="235" t="n">
        <v>0.12</v>
      </c>
      <c r="C10" s="234" t="inlineStr"/>
    </row>
    <row r="11">
      <c r="A11" s="234" t="inlineStr">
        <is>
          <t>consumable_unit_rate</t>
        </is>
      </c>
      <c r="B11" s="235" t="n">
        <v>15</v>
      </c>
      <c r="C11" s="234" t="inlineStr"/>
    </row>
    <row r="12">
      <c r="A12" s="234" t="inlineStr">
        <is>
          <t>cutting_rate_per_cut</t>
        </is>
      </c>
      <c r="B12" s="235" t="n">
        <v>25</v>
      </c>
      <c r="C12" s="234" t="inlineStr"/>
    </row>
    <row r="13">
      <c r="A13" s="234" t="inlineStr">
        <is>
          <t>surface_treatment_rate_per_m2</t>
        </is>
      </c>
      <c r="B13" s="235" t="n">
        <v>55</v>
      </c>
      <c r="C13" s="234" t="inlineStr">
        <is>
          <t>AED/m2</t>
        </is>
      </c>
    </row>
    <row r="14">
      <c r="A14" s="234" t="inlineStr">
        <is>
          <t>overhead_percentage</t>
        </is>
      </c>
      <c r="B14" s="235" t="n">
        <v>15</v>
      </c>
      <c r="C14" s="234" t="inlineStr">
        <is>
          <t>%</t>
        </is>
      </c>
    </row>
    <row r="15">
      <c r="A15" s="234" t="inlineStr">
        <is>
          <t>profit_margin_percentage</t>
        </is>
      </c>
      <c r="B15" s="235" t="n">
        <v>12</v>
      </c>
      <c r="C15" s="234" t="inlineStr">
        <is>
          <t>%</t>
        </is>
      </c>
    </row>
    <row r="16">
      <c r="A16" s="234" t="inlineStr">
        <is>
          <t>steel_density_kg_m3</t>
        </is>
      </c>
      <c r="B16" s="235" t="n">
        <v>7850</v>
      </c>
      <c r="C16" s="234" t="inlineStr"/>
    </row>
    <row r="17">
      <c r="A17" s="234" t="inlineStr">
        <is>
          <t>weld_length_per_joint_mm</t>
        </is>
      </c>
      <c r="B17" s="235" t="n">
        <v>150</v>
      </c>
      <c r="C17" s="234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232" t="inlineStr">
        <is>
          <t>CALCULATION AUDIT TRAIL</t>
        </is>
      </c>
    </row>
    <row r="2">
      <c r="A2" s="233" t="inlineStr">
        <is>
          <t>Step / Item</t>
        </is>
      </c>
      <c r="B2" s="233" t="inlineStr">
        <is>
          <t>Status</t>
        </is>
      </c>
      <c r="C2" s="233" t="inlineStr">
        <is>
          <t>Details</t>
        </is>
      </c>
    </row>
    <row r="3">
      <c r="A3" s="236" t="inlineStr">
        <is>
          <t>CS-2620-001</t>
        </is>
      </c>
      <c r="B3" s="236" t="inlineStr">
        <is>
          <t>calculated</t>
        </is>
      </c>
      <c r="C3" s="236" t="inlineStr">
        <is>
          <t>{'total_direct_cost': 2256.72}</t>
        </is>
      </c>
    </row>
    <row r="4">
      <c r="A4" s="236" t="inlineStr">
        <is>
          <t>CS-2620-002</t>
        </is>
      </c>
      <c r="B4" s="236" t="inlineStr">
        <is>
          <t>calculated</t>
        </is>
      </c>
      <c r="C4" s="236" t="inlineStr">
        <is>
          <t>{'total_direct_cost': 1841.74}</t>
        </is>
      </c>
    </row>
    <row r="5">
      <c r="A5" s="236" t="inlineStr">
        <is>
          <t>overhead_and_margin</t>
        </is>
      </c>
      <c r="B5" s="236" t="inlineStr">
        <is>
          <t>ok</t>
        </is>
      </c>
      <c r="C5" s="236" t="inlineStr">
        <is>
          <t>{'overhead_formula': 'Overhead = DirectCost(4098.46) × 15.0% = 614.77', 'selling_formula': 'SellingPrice = TotalCost(4713.23) × (1 + 12.0%) = 5278.82'}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2026-04-20T10:32:53Z</dcterms:modified>
  <cp:lastModifiedBy>t11771</cp:lastModifiedBy>
</cp:coreProperties>
</file>