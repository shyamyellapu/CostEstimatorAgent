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UMMARY" sheetId="1" state="visible" r:id="rId1"/>
    <sheet xmlns:r="http://schemas.openxmlformats.org/officeDocument/2006/relationships" name="JOB COSTING" sheetId="2" state="visible" r:id="rId2"/>
    <sheet xmlns:r="http://schemas.openxmlformats.org/officeDocument/2006/relationships" name="RATES &amp; CONFIG" sheetId="3" state="visible" r:id="rId3"/>
    <sheet xmlns:r="http://schemas.openxmlformats.org/officeDocument/2006/relationships" name="AUDIT T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000000"/>
      <sz val="14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6" fillId="0" borderId="0" pivotButton="0" quotePrefix="0" xfId="0"/>
    <xf numFmtId="0" fontId="6" fillId="6" borderId="0" pivotButton="0" quotePrefix="0" xfId="0"/>
    <xf numFmtId="0" fontId="9" fillId="2" borderId="0" pivotButton="0" quotePrefix="0" xfId="0"/>
    <xf numFmtId="4" fontId="9" fillId="2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4" borderId="1" pivotButton="0" quotePrefix="0" xfId="0"/>
    <xf numFmtId="164" fontId="11" fillId="4" borderId="1" applyAlignment="1" pivotButton="0" quotePrefix="0" xfId="0">
      <alignment horizontal="right" vertical="center"/>
    </xf>
    <xf numFmtId="0" fontId="11" fillId="5" borderId="1" pivotButton="0" quotePrefix="0" xfId="0"/>
    <xf numFmtId="164" fontId="11" fillId="5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0" customWidth="1" min="3" max="3"/>
    <col width="20" customWidth="1" min="4" max="4"/>
  </cols>
  <sheetData>
    <row r="1" ht="35" customHeight="1">
      <c r="A1" s="1" t="inlineStr">
        <is>
          <t>JOB COST ESTIMATION SHEET</t>
        </is>
      </c>
    </row>
    <row r="2">
      <c r="A2" s="2" t="inlineStr">
        <is>
          <t>Generated: 16 April 2026 16:50</t>
        </is>
      </c>
    </row>
    <row r="4" ht="20" customHeight="1">
      <c r="A4" s="3" t="inlineStr">
        <is>
          <t>Job Number</t>
        </is>
      </c>
      <c r="B4" s="4" t="inlineStr">
        <is>
          <t>JOB-20260416-9C18DA</t>
        </is>
      </c>
    </row>
    <row r="5" ht="20" customHeight="1">
      <c r="A5" s="3" t="inlineStr">
        <is>
          <t>Client</t>
        </is>
      </c>
      <c r="B5" s="4" t="inlineStr">
        <is>
          <t>Q</t>
        </is>
      </c>
    </row>
    <row r="6" ht="20" customHeight="1">
      <c r="A6" s="3" t="inlineStr">
        <is>
          <t>Project</t>
        </is>
      </c>
      <c r="B6" s="4" t="inlineStr">
        <is>
          <t>Q</t>
        </is>
      </c>
    </row>
    <row r="7" ht="20" customHeight="1">
      <c r="A7" s="3" t="inlineStr">
        <is>
          <t>Reference</t>
        </is>
      </c>
      <c r="B7" s="4" t="inlineStr">
        <is>
          <t>Q</t>
        </is>
      </c>
    </row>
    <row r="8" ht="20" customHeight="1">
      <c r="A8" s="3" t="inlineStr">
        <is>
          <t>Currency</t>
        </is>
      </c>
      <c r="B8" s="4" t="inlineStr">
        <is>
          <t>AED</t>
        </is>
      </c>
    </row>
    <row r="9" ht="20" customHeight="1">
      <c r="A9" s="3" t="inlineStr">
        <is>
          <t>Prepared By</t>
        </is>
      </c>
      <c r="B9" s="4" t="inlineStr">
        <is>
          <t>Cost Estimator AI Agent</t>
        </is>
      </c>
    </row>
    <row r="10" ht="20" customHeight="1">
      <c r="A10" s="3" t="inlineStr">
        <is>
          <t>Date</t>
        </is>
      </c>
      <c r="B10" s="4" t="inlineStr">
        <is>
          <t>16-Apr-2026</t>
        </is>
      </c>
    </row>
    <row r="12" ht="25" customHeight="1">
      <c r="A12" s="5" t="inlineStr">
        <is>
          <t>COST SUMMARY</t>
        </is>
      </c>
    </row>
    <row r="13" ht="20" customHeight="1">
      <c r="A13" s="4" t="inlineStr">
        <is>
          <t>Total Weight (kg)</t>
        </is>
      </c>
      <c r="B13" s="6" t="n">
        <v>0</v>
      </c>
      <c r="D13" s="7" t="inlineStr">
        <is>
          <t>AED</t>
        </is>
      </c>
    </row>
    <row r="14" ht="20" customHeight="1">
      <c r="A14" s="4" t="inlineStr">
        <is>
          <t>Total Material Cost</t>
        </is>
      </c>
      <c r="B14" s="6" t="n">
        <v>0</v>
      </c>
      <c r="D14" s="7" t="inlineStr">
        <is>
          <t>AED</t>
        </is>
      </c>
    </row>
    <row r="15" ht="20" customHeight="1">
      <c r="A15" s="4" t="inlineStr">
        <is>
          <t>Total Fabrication Cost</t>
        </is>
      </c>
      <c r="B15" s="6" t="n">
        <v>0</v>
      </c>
      <c r="D15" s="7" t="inlineStr">
        <is>
          <t>AED</t>
        </is>
      </c>
    </row>
    <row r="16" ht="20" customHeight="1">
      <c r="A16" s="4" t="inlineStr">
        <is>
          <t>Total Welding Cost</t>
        </is>
      </c>
      <c r="B16" s="6" t="n">
        <v>0</v>
      </c>
      <c r="D16" s="7" t="inlineStr">
        <is>
          <t>AED</t>
        </is>
      </c>
    </row>
    <row r="17" ht="20" customHeight="1">
      <c r="A17" s="4" t="inlineStr">
        <is>
          <t>Total Consumables</t>
        </is>
      </c>
      <c r="B17" s="6" t="n">
        <v>0</v>
      </c>
      <c r="D17" s="7" t="inlineStr">
        <is>
          <t>AED</t>
        </is>
      </c>
    </row>
    <row r="18" ht="20" customHeight="1">
      <c r="A18" s="4" t="inlineStr">
        <is>
          <t>Total Cutting Cost</t>
        </is>
      </c>
      <c r="B18" s="6" t="n">
        <v>200</v>
      </c>
      <c r="D18" s="7" t="inlineStr">
        <is>
          <t>AED</t>
        </is>
      </c>
    </row>
    <row r="19" ht="20" customHeight="1">
      <c r="A19" s="4" t="inlineStr">
        <is>
          <t>Total Surface Treatment</t>
        </is>
      </c>
      <c r="B19" s="6" t="n">
        <v>132</v>
      </c>
      <c r="D19" s="7" t="inlineStr">
        <is>
          <t>AED</t>
        </is>
      </c>
    </row>
    <row r="20" ht="20" customHeight="1">
      <c r="A20" s="4" t="inlineStr">
        <is>
          <t>Total Direct Cost</t>
        </is>
      </c>
      <c r="B20" s="6" t="n">
        <v>332</v>
      </c>
      <c r="D20" s="7" t="inlineStr">
        <is>
          <t>AED</t>
        </is>
      </c>
    </row>
    <row r="21" ht="20" customHeight="1">
      <c r="A21" s="4" t="inlineStr">
        <is>
          <t>Overhead (15.0%)</t>
        </is>
      </c>
      <c r="B21" s="6" t="n">
        <v>49.8</v>
      </c>
      <c r="D21" s="7" t="inlineStr">
        <is>
          <t>AED</t>
        </is>
      </c>
    </row>
    <row r="22" ht="20" customHeight="1">
      <c r="A22" s="4" t="inlineStr">
        <is>
          <t>Total Cost incl. Overhead</t>
        </is>
      </c>
      <c r="B22" s="6" t="n">
        <v>381.8</v>
      </c>
      <c r="D22" s="7" t="inlineStr">
        <is>
          <t>AED</t>
        </is>
      </c>
    </row>
    <row r="23" ht="20" customHeight="1">
      <c r="A23" s="4" t="inlineStr">
        <is>
          <t>Profit Margin (12.0%)</t>
        </is>
      </c>
      <c r="B23" s="6" t="n">
        <v>45.82</v>
      </c>
      <c r="D23" s="7" t="inlineStr">
        <is>
          <t>AED</t>
        </is>
      </c>
    </row>
    <row r="24" ht="20" customHeight="1">
      <c r="A24" s="8" t="inlineStr">
        <is>
          <t>SELLING PRICE</t>
        </is>
      </c>
      <c r="B24" s="9" t="n">
        <v>427.62</v>
      </c>
      <c r="D24" s="7" t="inlineStr">
        <is>
          <t>AED</t>
        </is>
      </c>
    </row>
  </sheetData>
  <mergeCells count="22">
    <mergeCell ref="B16:C16"/>
    <mergeCell ref="B8:D8"/>
    <mergeCell ref="B22:C22"/>
    <mergeCell ref="B18:C18"/>
    <mergeCell ref="B10:D10"/>
    <mergeCell ref="B21:C21"/>
    <mergeCell ref="B23:C23"/>
    <mergeCell ref="B9:D9"/>
    <mergeCell ref="B14:C14"/>
    <mergeCell ref="B17:C17"/>
    <mergeCell ref="B6:D6"/>
    <mergeCell ref="B13:C13"/>
    <mergeCell ref="A1:D1"/>
    <mergeCell ref="B5:D5"/>
    <mergeCell ref="B19:C19"/>
    <mergeCell ref="B4:D4"/>
    <mergeCell ref="B7:D7"/>
    <mergeCell ref="B24:C24"/>
    <mergeCell ref="B15:C15"/>
    <mergeCell ref="A12:D12"/>
    <mergeCell ref="B20:C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20" customWidth="1" min="12" max="12"/>
    <col width="12" customWidth="1" min="13" max="13"/>
    <col width="12" customWidth="1" min="14" max="14"/>
    <col width="14" customWidth="1" min="15" max="15"/>
    <col width="16" customWidth="1" min="16" max="16"/>
    <col width="20" customWidth="1" min="17" max="17"/>
  </cols>
  <sheetData>
    <row r="1">
      <c r="A1" s="10" t="inlineStr">
        <is>
          <t>C&amp;J GULF EQUIPMENT MANUFACTURING L.L.C</t>
        </is>
      </c>
    </row>
    <row r="2">
      <c r="A2" s="11" t="inlineStr">
        <is>
          <t>REF NO:</t>
        </is>
      </c>
      <c r="B2" s="12" t="inlineStr">
        <is>
          <t>JOB-20260416-9C18DA</t>
        </is>
      </c>
    </row>
    <row r="3">
      <c r="A3" s="11" t="inlineStr">
        <is>
          <t>CUSTOMER NAME:</t>
        </is>
      </c>
      <c r="B3" s="12" t="inlineStr">
        <is>
          <t>Q</t>
        </is>
      </c>
    </row>
    <row r="4">
      <c r="A4" s="11" t="inlineStr">
        <is>
          <t>CUSTOMER CODE:</t>
        </is>
      </c>
      <c r="B4" s="12" t="inlineStr">
        <is>
          <t>EXTRACTED</t>
        </is>
      </c>
    </row>
    <row r="5">
      <c r="A5" s="11" t="inlineStr">
        <is>
          <t>EMAIL:</t>
        </is>
      </c>
      <c r="B5" s="12" t="inlineStr">
        <is>
          <t>info@client.com</t>
        </is>
      </c>
    </row>
    <row r="6">
      <c r="A6" s="11" t="inlineStr">
        <is>
          <t>PROJECT DETAILS:</t>
        </is>
      </c>
      <c r="B6" s="12" t="inlineStr">
        <is>
          <t>Q</t>
        </is>
      </c>
    </row>
    <row r="8">
      <c r="A8" s="11" t="inlineStr">
        <is>
          <t>CUSTOMER P.O. Ref:</t>
        </is>
      </c>
      <c r="B8" s="12" t="inlineStr">
        <is>
          <t>PENDING</t>
        </is>
      </c>
    </row>
    <row r="14" ht="25" customHeight="1">
      <c r="A14" s="13" t="inlineStr">
        <is>
          <t>Sr No</t>
        </is>
      </c>
      <c r="B14" s="13" t="inlineStr">
        <is>
          <t>Item Description</t>
        </is>
      </c>
      <c r="C14" s="14" t="n"/>
      <c r="D14" s="14" t="n"/>
      <c r="E14" s="14" t="n"/>
      <c r="F14" s="15" t="n"/>
      <c r="G14" s="13" t="inlineStr">
        <is>
          <t>Qty</t>
        </is>
      </c>
      <c r="H14" s="13" t="inlineStr">
        <is>
          <t>Unit</t>
        </is>
      </c>
      <c r="I14" s="13" t="inlineStr">
        <is>
          <t>Manhours</t>
        </is>
      </c>
      <c r="J14" s="13" t="inlineStr">
        <is>
          <t>Unit cost</t>
        </is>
      </c>
      <c r="K14" s="13" t="inlineStr">
        <is>
          <t>Total cost</t>
        </is>
      </c>
      <c r="L14" s="13" t="inlineStr">
        <is>
          <t>Remarks</t>
        </is>
      </c>
      <c r="M14" s="13" t="inlineStr">
        <is>
          <t>Qty</t>
        </is>
      </c>
      <c r="N14" s="13" t="inlineStr">
        <is>
          <t>Unit</t>
        </is>
      </c>
      <c r="O14" s="13" t="inlineStr">
        <is>
          <t>Unit cost</t>
        </is>
      </c>
      <c r="P14" s="13" t="inlineStr">
        <is>
          <t>Total cost</t>
        </is>
      </c>
      <c r="Q14" s="13" t="inlineStr">
        <is>
          <t>Remarks</t>
        </is>
      </c>
    </row>
    <row r="15">
      <c r="A15" s="16" t="inlineStr">
        <is>
          <t>1</t>
        </is>
      </c>
      <c r="B15" s="16" t="inlineStr">
        <is>
          <t>Design, Drafting &amp; Drawing Charges</t>
        </is>
      </c>
      <c r="C15" s="16" t="n"/>
      <c r="D15" s="16" t="n"/>
      <c r="E15" s="16" t="n"/>
      <c r="F15" s="16" t="n"/>
      <c r="G15" s="16" t="n">
        <v>0</v>
      </c>
      <c r="H15" s="16" t="inlineStr">
        <is>
          <t>lot</t>
        </is>
      </c>
      <c r="I15" s="16" t="n"/>
      <c r="J15" s="16" t="n"/>
      <c r="K15" s="16">
        <f>G15*J15</f>
        <v/>
      </c>
      <c r="L15" s="16" t="n"/>
      <c r="M15" s="16" t="n"/>
      <c r="N15" s="16" t="n"/>
      <c r="O15" s="16" t="n"/>
      <c r="P15" s="16" t="n"/>
      <c r="Q15" s="16" t="n"/>
    </row>
    <row r="16">
      <c r="A16" s="16" t="inlineStr">
        <is>
          <t>1.1</t>
        </is>
      </c>
      <c r="B16" s="16" t="inlineStr">
        <is>
          <t>Gaps in customer design</t>
        </is>
      </c>
      <c r="C16" s="16" t="n"/>
      <c r="D16" s="16" t="n"/>
      <c r="E16" s="16" t="n"/>
      <c r="F16" s="16" t="n"/>
      <c r="G16" s="16" t="n">
        <v>0</v>
      </c>
      <c r="H16" s="16" t="inlineStr">
        <is>
          <t>lot</t>
        </is>
      </c>
      <c r="I16" s="16" t="n"/>
      <c r="J16" s="16" t="n"/>
      <c r="K16" s="16">
        <f>G16*J16</f>
        <v/>
      </c>
      <c r="L16" s="16" t="n"/>
      <c r="M16" s="16" t="n"/>
      <c r="N16" s="16" t="n"/>
      <c r="O16" s="16" t="n"/>
      <c r="P16" s="16" t="n"/>
      <c r="Q16" s="16" t="n"/>
    </row>
    <row r="17">
      <c r="A17" s="16" t="inlineStr">
        <is>
          <t>2</t>
        </is>
      </c>
      <c r="B17" s="16" t="inlineStr">
        <is>
          <t>BOM/BOQ Preparation</t>
        </is>
      </c>
      <c r="C17" s="16" t="n"/>
      <c r="D17" s="16" t="n"/>
      <c r="E17" s="16" t="n"/>
      <c r="F17" s="16" t="n"/>
      <c r="G17" s="16" t="n">
        <v>0</v>
      </c>
      <c r="H17" s="16" t="inlineStr">
        <is>
          <t>lot</t>
        </is>
      </c>
      <c r="I17" s="16" t="n"/>
      <c r="J17" s="16" t="n"/>
      <c r="K17" s="16">
        <f>G17*J17</f>
        <v/>
      </c>
      <c r="L17" s="16" t="n"/>
      <c r="M17" s="16" t="n"/>
      <c r="N17" s="16" t="n"/>
      <c r="O17" s="16" t="n"/>
      <c r="P17" s="16" t="n"/>
      <c r="Q17" s="16" t="n"/>
    </row>
    <row r="18">
      <c r="A18" s="16" t="inlineStr">
        <is>
          <t>3</t>
        </is>
      </c>
      <c r="B18" s="16" t="inlineStr">
        <is>
          <t>Technical recommendations to customer</t>
        </is>
      </c>
      <c r="C18" s="16" t="n"/>
      <c r="D18" s="16" t="n"/>
      <c r="E18" s="16" t="n"/>
      <c r="F18" s="16" t="n"/>
      <c r="G18" s="16" t="n">
        <v>0</v>
      </c>
      <c r="H18" s="16" t="inlineStr">
        <is>
          <t>lot</t>
        </is>
      </c>
      <c r="I18" s="16" t="n"/>
      <c r="J18" s="16" t="n"/>
      <c r="K18" s="16">
        <f>G18*J18</f>
        <v/>
      </c>
      <c r="L18" s="16" t="n"/>
      <c r="M18" s="16" t="n"/>
      <c r="N18" s="16" t="n"/>
      <c r="O18" s="16" t="n"/>
      <c r="P18" s="16" t="n"/>
      <c r="Q18" s="16" t="n"/>
    </row>
    <row r="19">
      <c r="A19" s="16" t="inlineStr">
        <is>
          <t>4</t>
        </is>
      </c>
      <c r="B19" s="16" t="inlineStr">
        <is>
          <t>Gaps in our estimation</t>
        </is>
      </c>
      <c r="C19" s="16" t="n"/>
      <c r="D19" s="16" t="n"/>
      <c r="E19" s="16" t="n"/>
      <c r="F19" s="16" t="n"/>
      <c r="G19" s="16" t="n">
        <v>0</v>
      </c>
      <c r="H19" s="16" t="inlineStr">
        <is>
          <t>lot</t>
        </is>
      </c>
      <c r="I19" s="16" t="n"/>
      <c r="J19" s="16" t="n"/>
      <c r="K19" s="16">
        <f>G19*J19</f>
        <v/>
      </c>
      <c r="L19" s="16" t="n"/>
      <c r="M19" s="16" t="n"/>
      <c r="N19" s="16" t="n"/>
      <c r="O19" s="16" t="n"/>
      <c r="P19" s="16" t="n"/>
      <c r="Q19" s="16" t="n"/>
    </row>
    <row r="20">
      <c r="A20" t="inlineStr">
        <is>
          <t>5</t>
        </is>
      </c>
      <c r="B20" s="11" t="inlineStr">
        <is>
          <t>Material Cost</t>
        </is>
      </c>
    </row>
    <row r="21">
      <c r="A21" s="16" t="inlineStr">
        <is>
          <t>5.1</t>
        </is>
      </c>
      <c r="B21" s="16" t="inlineStr">
        <is>
          <t>UC 152x152x30 vertical column (UC)</t>
        </is>
      </c>
      <c r="C21" s="16" t="n"/>
      <c r="D21" s="16" t="n"/>
      <c r="E21" s="16" t="n"/>
      <c r="F21" s="16" t="n"/>
      <c r="G21" s="16" t="n">
        <v>0</v>
      </c>
      <c r="H21" s="16" t="inlineStr">
        <is>
          <t>Kg</t>
        </is>
      </c>
      <c r="I21" s="16" t="n"/>
      <c r="J21" s="16" t="n">
        <v>3.5</v>
      </c>
      <c r="K21" s="16">
        <f>G21*J21</f>
        <v/>
      </c>
      <c r="L21" s="16" t="n"/>
      <c r="M21" s="16" t="n">
        <v>0.9</v>
      </c>
      <c r="N21" s="16" t="inlineStr">
        <is>
          <t>m2</t>
        </is>
      </c>
      <c r="O21" s="16" t="n">
        <v>55</v>
      </c>
      <c r="P21" s="16">
        <f>M21*O21</f>
        <v/>
      </c>
      <c r="Q21" s="16" t="n"/>
    </row>
    <row r="22">
      <c r="A22" s="16" t="inlineStr">
        <is>
          <t>5.2</t>
        </is>
      </c>
      <c r="B22" s="16" t="inlineStr">
        <is>
          <t>UC 152x152x30 vertical column (UC)</t>
        </is>
      </c>
      <c r="C22" s="16" t="n"/>
      <c r="D22" s="16" t="n"/>
      <c r="E22" s="16" t="n"/>
      <c r="F22" s="16" t="n"/>
      <c r="G22" s="16" t="n">
        <v>0</v>
      </c>
      <c r="H22" s="16" t="inlineStr">
        <is>
          <t>Kg</t>
        </is>
      </c>
      <c r="I22" s="16" t="n"/>
      <c r="J22" s="16" t="n">
        <v>3.5</v>
      </c>
      <c r="K22" s="16">
        <f>G22*J22</f>
        <v/>
      </c>
      <c r="L22" s="16" t="n"/>
      <c r="M22" s="16" t="n">
        <v>0.9</v>
      </c>
      <c r="N22" s="16" t="inlineStr">
        <is>
          <t>m2</t>
        </is>
      </c>
      <c r="O22" s="16" t="n">
        <v>55</v>
      </c>
      <c r="P22" s="16">
        <f>M22*O22</f>
        <v/>
      </c>
      <c r="Q22" s="16" t="n"/>
    </row>
    <row r="23">
      <c r="A23" s="16" t="inlineStr">
        <is>
          <t>5.3</t>
        </is>
      </c>
      <c r="B23" s="16" t="inlineStr">
        <is>
          <t>L 100x100x10 horizontal beam (L_angle)</t>
        </is>
      </c>
      <c r="C23" s="16" t="n"/>
      <c r="D23" s="16" t="n"/>
      <c r="E23" s="16" t="n"/>
      <c r="F23" s="16" t="n"/>
      <c r="G23" s="16" t="n">
        <v>0</v>
      </c>
      <c r="H23" s="16" t="inlineStr">
        <is>
          <t>Kg</t>
        </is>
      </c>
      <c r="I23" s="16" t="n"/>
      <c r="J23" s="16" t="n">
        <v>3.5</v>
      </c>
      <c r="K23" s="16">
        <f>G23*J23</f>
        <v/>
      </c>
      <c r="L23" s="16" t="n"/>
      <c r="M23" s="16" t="n">
        <v>0.6</v>
      </c>
      <c r="N23" s="16" t="inlineStr">
        <is>
          <t>m2</t>
        </is>
      </c>
      <c r="O23" s="16" t="n">
        <v>55</v>
      </c>
      <c r="P23" s="16">
        <f>M23*O23</f>
        <v/>
      </c>
      <c r="Q23" s="16" t="n"/>
    </row>
    <row r="24">
      <c r="A24" s="16" t="inlineStr">
        <is>
          <t>5.4</t>
        </is>
      </c>
      <c r="B24" s="16" t="inlineStr">
        <is>
          <t>M20 bolt (bolt)</t>
        </is>
      </c>
      <c r="C24" s="16" t="n"/>
      <c r="D24" s="16" t="n"/>
      <c r="E24" s="16" t="n"/>
      <c r="F24" s="16" t="n"/>
      <c r="G24" s="16" t="n">
        <v>0</v>
      </c>
      <c r="H24" s="16" t="inlineStr">
        <is>
          <t>Kg</t>
        </is>
      </c>
      <c r="I24" s="16" t="n"/>
      <c r="J24" s="16" t="n">
        <v>3.5</v>
      </c>
      <c r="K24" s="16">
        <f>G24*J24</f>
        <v/>
      </c>
      <c r="L24" s="16" t="n"/>
      <c r="M24" s="16" t="n">
        <v>0</v>
      </c>
      <c r="N24" s="16" t="inlineStr">
        <is>
          <t>m2</t>
        </is>
      </c>
      <c r="O24" s="16" t="n">
        <v>55</v>
      </c>
      <c r="P24" s="16">
        <f>M24*O24</f>
        <v/>
      </c>
      <c r="Q24" s="16" t="n"/>
    </row>
    <row r="25">
      <c r="A25" s="16" t="inlineStr">
        <is>
          <t>5.5</t>
        </is>
      </c>
      <c r="B25" s="16" t="inlineStr">
        <is>
          <t>Plate 10mm thick (plate)</t>
        </is>
      </c>
      <c r="C25" s="16" t="n"/>
      <c r="D25" s="16" t="n"/>
      <c r="E25" s="16" t="n"/>
      <c r="F25" s="16" t="n"/>
      <c r="G25" s="16" t="n">
        <v>0</v>
      </c>
      <c r="H25" s="16" t="inlineStr">
        <is>
          <t>Kg</t>
        </is>
      </c>
      <c r="I25" s="16" t="n"/>
      <c r="J25" s="16" t="n">
        <v>3.5</v>
      </c>
      <c r="K25" s="16">
        <f>G25*J25</f>
        <v/>
      </c>
      <c r="L25" s="16" t="n"/>
      <c r="M25" s="16" t="n">
        <v>0</v>
      </c>
      <c r="N25" s="16" t="inlineStr">
        <is>
          <t>m2</t>
        </is>
      </c>
      <c r="O25" s="16" t="n">
        <v>55</v>
      </c>
      <c r="P25" s="16">
        <f>M25*O25</f>
        <v/>
      </c>
      <c r="Q25" s="16" t="n"/>
    </row>
    <row r="26">
      <c r="A26" s="16" t="inlineStr">
        <is>
          <t>6</t>
        </is>
      </c>
      <c r="B26" s="16" t="inlineStr">
        <is>
          <t>Fabrication &amp; Welding Labor</t>
        </is>
      </c>
      <c r="C26" s="16" t="n"/>
      <c r="D26" s="16" t="n"/>
      <c r="E26" s="16" t="n"/>
      <c r="F26" s="16" t="n"/>
      <c r="G26" s="16" t="n">
        <v>0</v>
      </c>
      <c r="H26" s="16" t="inlineStr">
        <is>
          <t>Kg</t>
        </is>
      </c>
      <c r="I26" s="16" t="n"/>
      <c r="J26" s="16" t="n">
        <v>6</v>
      </c>
      <c r="K26" s="16">
        <f>G26*J26</f>
        <v/>
      </c>
      <c r="L26" s="16" t="n"/>
      <c r="M26" s="16" t="n"/>
      <c r="N26" s="16" t="n"/>
      <c r="O26" s="16" t="n"/>
      <c r="P26" s="16" t="n"/>
      <c r="Q26" s="16" t="n"/>
    </row>
    <row r="29">
      <c r="B29" s="17" t="inlineStr">
        <is>
          <t>TOTAL DIRECT COST</t>
        </is>
      </c>
      <c r="K29" s="18">
        <f>SUM(K15:K28)</f>
        <v/>
      </c>
    </row>
    <row r="30">
      <c r="B30" t="inlineStr">
        <is>
          <t>Overhead (15.0%)</t>
        </is>
      </c>
      <c r="K30">
        <f>K29*0.15</f>
        <v/>
      </c>
    </row>
    <row r="31">
      <c r="B31" s="19" t="inlineStr">
        <is>
          <t>SELLING PRICE (TOTAL)</t>
        </is>
      </c>
      <c r="K31" s="20">
        <f>K29+K30</f>
        <v/>
      </c>
    </row>
  </sheetData>
  <mergeCells count="20">
    <mergeCell ref="B16:F16"/>
    <mergeCell ref="B8:D8"/>
    <mergeCell ref="B25:F25"/>
    <mergeCell ref="B22:F22"/>
    <mergeCell ref="B18:F18"/>
    <mergeCell ref="A1:Q1"/>
    <mergeCell ref="B21:F21"/>
    <mergeCell ref="B23:F23"/>
    <mergeCell ref="B14:F14"/>
    <mergeCell ref="B17:F17"/>
    <mergeCell ref="B6:D6"/>
    <mergeCell ref="B5:D5"/>
    <mergeCell ref="B4:D4"/>
    <mergeCell ref="B19:F19"/>
    <mergeCell ref="B3:D3"/>
    <mergeCell ref="B24:F24"/>
    <mergeCell ref="B20:F20"/>
    <mergeCell ref="B15:F15"/>
    <mergeCell ref="B26:F26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30" customWidth="1" min="4" max="4"/>
  </cols>
  <sheetData>
    <row r="1" ht="30" customHeight="1">
      <c r="A1" s="21" t="inlineStr">
        <is>
          <t>RATE CONFIGURATION (Snapshot at time of calculation)</t>
        </is>
      </c>
    </row>
    <row r="3" ht="22" customHeight="1">
      <c r="A3" s="13" t="inlineStr">
        <is>
          <t>Parameter</t>
        </is>
      </c>
      <c r="B3" s="13" t="inlineStr">
        <is>
          <t>Value</t>
        </is>
      </c>
      <c r="C3" s="13" t="inlineStr">
        <is>
          <t>Unit</t>
        </is>
      </c>
      <c r="D3" s="13" t="inlineStr">
        <is>
          <t>Description</t>
        </is>
      </c>
    </row>
    <row r="4" ht="18" customHeight="1">
      <c r="A4" s="22" t="inlineStr">
        <is>
          <t>Material Rate</t>
        </is>
      </c>
      <c r="B4" s="23" t="n">
        <v>3.5</v>
      </c>
      <c r="C4" s="22" t="inlineStr">
        <is>
          <t>AED/kg</t>
        </is>
      </c>
      <c r="D4" s="22" t="inlineStr">
        <is>
          <t>Steel material rate per kg</t>
        </is>
      </c>
    </row>
    <row r="5" ht="18" customHeight="1">
      <c r="A5" s="24" t="inlineStr">
        <is>
          <t>Fabrication Rate (weight)</t>
        </is>
      </c>
      <c r="B5" s="25" t="n">
        <v>6</v>
      </c>
      <c r="C5" s="24" t="inlineStr">
        <is>
          <t>AED/kg</t>
        </is>
      </c>
      <c r="D5" s="24" t="inlineStr">
        <is>
          <t>Weight-based fabrication rate</t>
        </is>
      </c>
    </row>
    <row r="6" ht="18" customHeight="1">
      <c r="A6" s="22" t="inlineStr">
        <is>
          <t>Fabrication Hourly Rate</t>
        </is>
      </c>
      <c r="B6" s="23" t="n">
        <v>45</v>
      </c>
      <c r="C6" s="22" t="inlineStr">
        <is>
          <t>AED/hr</t>
        </is>
      </c>
      <c r="D6" s="22" t="inlineStr">
        <is>
          <t>Manhour-based fabrication rate</t>
        </is>
      </c>
    </row>
    <row r="7" ht="18" customHeight="1">
      <c r="A7" s="24" t="inlineStr">
        <is>
          <t>Manhour Factor</t>
        </is>
      </c>
      <c r="B7" s="25" t="n">
        <v>0.15</v>
      </c>
      <c r="C7" s="24" t="inlineStr">
        <is>
          <t>hr/kg</t>
        </is>
      </c>
      <c r="D7" s="24" t="inlineStr">
        <is>
          <t>Fabrication manhours per kg of steel</t>
        </is>
      </c>
    </row>
    <row r="8" ht="18" customHeight="1">
      <c r="A8" s="22" t="inlineStr">
        <is>
          <t>Welding Time</t>
        </is>
      </c>
      <c r="B8" s="23" t="n">
        <v>0.8</v>
      </c>
      <c r="C8" s="22" t="inlineStr">
        <is>
          <t>hr/m</t>
        </is>
      </c>
      <c r="D8" s="22" t="inlineStr">
        <is>
          <t>Welding manhours per meter of weld</t>
        </is>
      </c>
    </row>
    <row r="9" ht="18" customHeight="1">
      <c r="A9" s="24" t="inlineStr">
        <is>
          <t>Welding Hourly Rate</t>
        </is>
      </c>
      <c r="B9" s="25" t="n">
        <v>45</v>
      </c>
      <c r="C9" s="24" t="inlineStr">
        <is>
          <t>AED/hr</t>
        </is>
      </c>
      <c r="D9" s="24" t="inlineStr">
        <is>
          <t>Welding labor rate</t>
        </is>
      </c>
    </row>
    <row r="10" ht="18" customHeight="1">
      <c r="A10" s="22" t="inlineStr">
        <is>
          <t>Consumable Factor</t>
        </is>
      </c>
      <c r="B10" s="23" t="n">
        <v>0.12</v>
      </c>
      <c r="C10" s="22" t="inlineStr">
        <is>
          <t>kg/m</t>
        </is>
      </c>
      <c r="D10" s="22" t="inlineStr">
        <is>
          <t>Welding consumables per meter of weld</t>
        </is>
      </c>
    </row>
    <row r="11" ht="18" customHeight="1">
      <c r="A11" s="24" t="inlineStr">
        <is>
          <t>Consumable Unit Rate</t>
        </is>
      </c>
      <c r="B11" s="25" t="n">
        <v>15</v>
      </c>
      <c r="C11" s="24" t="inlineStr">
        <is>
          <t>AED/kg</t>
        </is>
      </c>
      <c r="D11" s="24" t="inlineStr">
        <is>
          <t>Rate for welding consumables</t>
        </is>
      </c>
    </row>
    <row r="12" ht="18" customHeight="1">
      <c r="A12" s="22" t="inlineStr">
        <is>
          <t>Cutting Rate</t>
        </is>
      </c>
      <c r="B12" s="23" t="n">
        <v>25</v>
      </c>
      <c r="C12" s="22" t="inlineStr">
        <is>
          <t>AED/cut</t>
        </is>
      </c>
      <c r="D12" s="22" t="inlineStr">
        <is>
          <t>Rate per cut/saw cut</t>
        </is>
      </c>
    </row>
    <row r="13" ht="18" customHeight="1">
      <c r="A13" s="24" t="inlineStr">
        <is>
          <t>Surface Treatment Rate</t>
        </is>
      </c>
      <c r="B13" s="25" t="n">
        <v>55</v>
      </c>
      <c r="C13" s="24" t="inlineStr">
        <is>
          <t>AED/m²</t>
        </is>
      </c>
      <c r="D13" s="24" t="inlineStr">
        <is>
          <t>Blast &amp; prime or painting rate</t>
        </is>
      </c>
    </row>
    <row r="14" ht="18" customHeight="1">
      <c r="A14" s="22" t="inlineStr">
        <is>
          <t>Overhead %</t>
        </is>
      </c>
      <c r="B14" s="23" t="n">
        <v>15</v>
      </c>
      <c r="C14" s="22" t="inlineStr">
        <is>
          <t>%</t>
        </is>
      </c>
      <c r="D14" s="22" t="inlineStr">
        <is>
          <t>Overhead percentage on direct cost</t>
        </is>
      </c>
    </row>
    <row r="15" ht="18" customHeight="1">
      <c r="A15" s="24" t="inlineStr">
        <is>
          <t>Profit Margin %</t>
        </is>
      </c>
      <c r="B15" s="25" t="n">
        <v>12</v>
      </c>
      <c r="C15" s="24" t="inlineStr">
        <is>
          <t>%</t>
        </is>
      </c>
      <c r="D15" s="24" t="inlineStr">
        <is>
          <t>Net profit margin on total cost</t>
        </is>
      </c>
    </row>
    <row r="16" ht="18" customHeight="1">
      <c r="A16" s="22" t="inlineStr">
        <is>
          <t>Steel Density</t>
        </is>
      </c>
      <c r="B16" s="23" t="n">
        <v>7850</v>
      </c>
      <c r="C16" s="22" t="inlineStr">
        <is>
          <t>kg/m³</t>
        </is>
      </c>
      <c r="D16" s="22" t="inlineStr">
        <is>
          <t>Default steel density</t>
        </is>
      </c>
    </row>
    <row r="17" ht="18" customHeight="1">
      <c r="A17" s="24" t="inlineStr">
        <is>
          <t>Weld Length/Joint</t>
        </is>
      </c>
      <c r="B17" s="25" t="n">
        <v>150</v>
      </c>
      <c r="C17" s="24" t="inlineStr">
        <is>
          <t>mm</t>
        </is>
      </c>
      <c r="D17" s="24" t="inlineStr">
        <is>
          <t>Default weld length per joint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</cols>
  <sheetData>
    <row r="1" ht="30" customHeight="1">
      <c r="A1" s="21" t="inlineStr">
        <is>
          <t>CALCULATION AUDIT TRAIL</t>
        </is>
      </c>
    </row>
    <row r="2">
      <c r="A2" s="13" t="inlineStr">
        <is>
          <t>Step / Item</t>
        </is>
      </c>
      <c r="B2" s="13" t="inlineStr">
        <is>
          <t>Status</t>
        </is>
      </c>
      <c r="C2" s="13" t="inlineStr">
        <is>
          <t>Details</t>
        </is>
      </c>
    </row>
    <row r="3" ht="16" customHeight="1">
      <c r="A3" s="26" t="inlineStr">
        <is>
          <t>CS-2620-001</t>
        </is>
      </c>
      <c r="B3" s="26" t="inlineStr">
        <is>
          <t>calculated</t>
        </is>
      </c>
      <c r="C3" s="26" t="inlineStr">
        <is>
          <t>{'total_direct_cost': 74.5}</t>
        </is>
      </c>
    </row>
    <row r="4" ht="16" customHeight="1">
      <c r="A4" s="26" t="inlineStr">
        <is>
          <t>CS-2620-002</t>
        </is>
      </c>
      <c r="B4" s="26" t="inlineStr">
        <is>
          <t>calculated</t>
        </is>
      </c>
      <c r="C4" s="26" t="inlineStr">
        <is>
          <t>{'total_direct_cost': 74.5}</t>
        </is>
      </c>
    </row>
    <row r="5" ht="16" customHeight="1">
      <c r="A5" s="26" t="inlineStr">
        <is>
          <t>CS-2620-003</t>
        </is>
      </c>
      <c r="B5" s="26" t="inlineStr">
        <is>
          <t>calculated</t>
        </is>
      </c>
      <c r="C5" s="26" t="inlineStr">
        <is>
          <t>{'total_direct_cost': 58.0}</t>
        </is>
      </c>
    </row>
    <row r="6" ht="16" customHeight="1">
      <c r="A6" s="26" t="inlineStr">
        <is>
          <t>BOLT/PLATE</t>
        </is>
      </c>
      <c r="B6" s="26" t="inlineStr">
        <is>
          <t>calculated</t>
        </is>
      </c>
      <c r="C6" s="26" t="inlineStr">
        <is>
          <t>{'total_direct_cost': 100.0}</t>
        </is>
      </c>
    </row>
    <row r="7" ht="16" customHeight="1">
      <c r="A7" s="26" t="inlineStr">
        <is>
          <t>BOLT/PLATE</t>
        </is>
      </c>
      <c r="B7" s="26" t="inlineStr">
        <is>
          <t>calculated</t>
        </is>
      </c>
      <c r="C7" s="26" t="inlineStr">
        <is>
          <t>{'total_direct_cost': 25.0}</t>
        </is>
      </c>
    </row>
    <row r="8" ht="16" customHeight="1">
      <c r="A8" s="26" t="inlineStr">
        <is>
          <t>overhead_and_margin</t>
        </is>
      </c>
      <c r="B8" s="26" t="inlineStr">
        <is>
          <t>overhead_and_margin</t>
        </is>
      </c>
      <c r="C8" s="26" t="inlineStr">
        <is>
          <t>{'overhead_formula': 'Overhead = DirectCost(332.00) × 15.0% = 49.80', 'selling_formula': 'SellingPrice = TotalCost(381.80) × (1 + 12.0%) = 427.62'}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2026-04-16T11:20:26Z</dcterms:created>
  <dcterms:modified xmlns:dcterms="http://purl.org/dc/terms/" xmlns:xsi="http://www.w3.org/2001/XMLSchema-instance" xsi:type="dcterms:W3CDTF">2026-04-16T11:20:26Z</dcterms:modified>
</cp:coreProperties>
</file>