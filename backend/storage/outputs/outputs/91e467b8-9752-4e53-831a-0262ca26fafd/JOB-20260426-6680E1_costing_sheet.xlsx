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8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" fontId="20" fillId="3" borderId="36" applyAlignment="1" pivotButton="0" quotePrefix="0" xfId="5">
      <alignment horizontal="left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166" fontId="20" fillId="3" borderId="25" applyAlignment="1" pivotButton="0" quotePrefix="0" xfId="6">
      <alignment horizontal="left" vertical="center"/>
    </xf>
    <xf numFmtId="4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6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164" fontId="20" fillId="3" borderId="26" applyAlignment="1" pivotButton="0" quotePrefix="0" xfId="4">
      <alignment horizontal="center" vertical="center"/>
    </xf>
    <xf numFmtId="43" fontId="0" fillId="0" borderId="0" pivotButton="0" quotePrefix="0" xfId="0"/>
    <xf numFmtId="166" fontId="20" fillId="0" borderId="31" applyAlignment="1" pivotButton="0" quotePrefix="0" xfId="6">
      <alignment horizontal="left" vertical="center"/>
    </xf>
    <xf numFmtId="166" fontId="20" fillId="3" borderId="31" applyAlignment="1" pivotButton="0" quotePrefix="0" xfId="6">
      <alignment horizontal="left" vertical="center"/>
    </xf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M41" sqref="M41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JOB-20260426-6680E1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/>
      <c r="D4" s="176" t="n"/>
      <c r="E4" s="71" t="inlineStr">
        <is>
          <t>DATE</t>
        </is>
      </c>
      <c r="F4" s="181" t="n"/>
      <c r="G4" s="182" t="inlineStr">
        <is>
          <t>2026-04-26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JOB-20260426-6680E1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/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11" t="n">
        <v>1284.6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</t>
        </is>
      </c>
      <c r="C24" s="205" t="n"/>
      <c r="D24" s="205" t="n"/>
      <c r="E24" s="205" t="n"/>
      <c r="F24" s="210" t="n"/>
      <c r="G24" s="211" t="n">
        <v>72</v>
      </c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2" t="inlineStr">
        <is>
          <t>Paint Material</t>
        </is>
      </c>
      <c r="C25" s="213" t="n"/>
      <c r="D25" s="213" t="n"/>
      <c r="E25" s="213" t="n"/>
      <c r="F25" s="214" t="n"/>
      <c r="G25" s="211" t="n">
        <v>18.5</v>
      </c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5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6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7" t="inlineStr">
        <is>
          <t>Structural Welding Labour</t>
        </is>
      </c>
      <c r="C29" s="205" t="n"/>
      <c r="D29" s="205" t="n"/>
      <c r="E29" s="205" t="n"/>
      <c r="F29" s="204" t="n"/>
      <c r="G29" s="209" t="n"/>
      <c r="H29" s="24" t="inlineStr">
        <is>
          <t>Hrs</t>
        </is>
      </c>
      <c r="I29" s="218" t="n">
        <v>38.4</v>
      </c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7" t="inlineStr">
        <is>
          <t>Structural Fabrication Labour</t>
        </is>
      </c>
      <c r="C30" s="205" t="n"/>
      <c r="D30" s="205" t="n"/>
      <c r="E30" s="205" t="n"/>
      <c r="F30" s="204" t="n"/>
      <c r="G30" s="209" t="n"/>
      <c r="H30" s="24" t="inlineStr">
        <is>
          <t>Hrs</t>
        </is>
      </c>
      <c r="I30" s="218" t="n">
        <v>64</v>
      </c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0" t="inlineStr">
        <is>
          <t xml:space="preserve">Hydrotesting </t>
        </is>
      </c>
      <c r="C31" s="219" t="n"/>
      <c r="D31" s="219" t="n"/>
      <c r="E31" s="219" t="n"/>
      <c r="F31" s="219" t="n"/>
      <c r="G31" s="220" t="n"/>
      <c r="H31" s="24" t="inlineStr">
        <is>
          <t>Inch Dia</t>
        </is>
      </c>
      <c r="I31" s="221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6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6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2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20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2" t="n"/>
    </row>
    <row r="37" ht="15" customHeight="1">
      <c r="A37" s="29" t="n">
        <v>10.1</v>
      </c>
      <c r="B37" s="217" t="inlineStr">
        <is>
          <t>10% MPI/DPT</t>
        </is>
      </c>
      <c r="C37" s="205" t="n"/>
      <c r="D37" s="205" t="n"/>
      <c r="E37" s="205" t="n"/>
      <c r="F37" s="204" t="n"/>
      <c r="G37" s="220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6" t="inlineStr">
        <is>
          <t>Galvanizing Work</t>
        </is>
      </c>
      <c r="C39" s="205" t="n"/>
      <c r="D39" s="205" t="n"/>
      <c r="E39" s="205" t="n"/>
      <c r="F39" s="205" t="n"/>
      <c r="G39" s="206" t="inlineStr"/>
      <c r="H39" s="24" t="inlineStr">
        <is>
          <t>Kg</t>
        </is>
      </c>
      <c r="I39" s="24" t="n"/>
      <c r="J39" s="25" t="n">
        <v>2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2" t="inlineStr">
        <is>
          <t>Blasting (123.2 Sq M)</t>
        </is>
      </c>
      <c r="C40" s="205" t="n"/>
      <c r="D40" s="205" t="n"/>
      <c r="E40" s="205" t="n"/>
      <c r="F40" s="205" t="n"/>
      <c r="G40" s="223" t="n">
        <v>123.2</v>
      </c>
      <c r="H40" s="35" t="inlineStr">
        <is>
          <t>SQM</t>
        </is>
      </c>
      <c r="I40" s="37" t="n"/>
      <c r="J40" s="31" t="n">
        <v>9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2" t="inlineStr">
        <is>
          <t>Painting (123.2 Sq M)</t>
        </is>
      </c>
      <c r="C41" s="205" t="n"/>
      <c r="D41" s="205" t="n"/>
      <c r="E41" s="205" t="n"/>
      <c r="F41" s="205" t="n"/>
      <c r="G41" s="223" t="n">
        <v>123.2</v>
      </c>
      <c r="H41" s="35" t="inlineStr">
        <is>
          <t>SQM</t>
        </is>
      </c>
      <c r="I41" s="37" t="n"/>
      <c r="J41" s="31" t="n">
        <v>11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MPI / DPT Inspection (2 visits)</t>
        </is>
      </c>
      <c r="C43" s="205" t="n"/>
      <c r="D43" s="205" t="n"/>
      <c r="E43" s="205" t="n"/>
      <c r="F43" s="205" t="n"/>
      <c r="G43" s="224" t="n">
        <v>2</v>
      </c>
      <c r="H43" s="24" t="inlineStr">
        <is>
          <t>Visits</t>
        </is>
      </c>
      <c r="I43" s="24" t="n"/>
      <c r="J43" s="25" t="n">
        <v>600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QA/QC Documentation &amp; NDT</t>
        </is>
      </c>
      <c r="C46" s="205" t="n"/>
      <c r="D46" s="205" t="n"/>
      <c r="E46" s="205" t="n"/>
      <c r="F46" s="205" t="n"/>
      <c r="G46" s="224" t="n">
        <v>1</v>
      </c>
      <c r="H46" s="24" t="inlineStr">
        <is>
          <t>Lot</t>
        </is>
      </c>
      <c r="I46" s="24" t="n"/>
      <c r="J46" s="25" t="n">
        <v>3000</v>
      </c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Packing &amp; Loading</t>
        </is>
      </c>
      <c r="C47" s="205" t="n"/>
      <c r="D47" s="205" t="n"/>
      <c r="E47" s="205" t="n"/>
      <c r="F47" s="205" t="n"/>
      <c r="G47" s="224" t="n">
        <v>1</v>
      </c>
      <c r="H47" s="24" t="inlineStr">
        <is>
          <t>Lot</t>
        </is>
      </c>
      <c r="I47" s="24" t="n"/>
      <c r="J47" s="25" t="n">
        <v>3000</v>
      </c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0" t="inlineStr">
        <is>
          <t>Total cost</t>
        </is>
      </c>
      <c r="B55" s="174" t="n"/>
      <c r="C55" s="174" t="n"/>
      <c r="D55" s="225" t="n">
        <v>20937.19</v>
      </c>
      <c r="E55" s="174" t="n"/>
      <c r="F55" s="175" t="n"/>
      <c r="G55" s="155" t="inlineStr">
        <is>
          <t>ESTIMATION
 ENGR.</t>
        </is>
      </c>
      <c r="I55" s="155" t="n"/>
      <c r="J55" s="68" t="inlineStr">
        <is>
          <t>Sachin Ahire</t>
        </is>
      </c>
      <c r="K55" s="56" t="n"/>
      <c r="L55" s="73" t="n"/>
      <c r="M55" s="156" t="inlineStr">
        <is>
          <t>PLANNING
 ENGR.</t>
        </is>
      </c>
      <c r="N55" s="174" t="n"/>
      <c r="O55" s="174" t="n"/>
      <c r="P55" s="226" t="inlineStr">
        <is>
          <t>Sachin Ahire</t>
        </is>
      </c>
      <c r="Q55" s="174" t="n"/>
      <c r="R55" s="175" t="n"/>
    </row>
    <row r="56" ht="24.6" customHeight="1" thickBot="1">
      <c r="A56" s="144" t="inlineStr">
        <is>
          <t xml:space="preserve">19.Overheads </t>
        </is>
      </c>
      <c r="B56" s="176" t="n"/>
      <c r="C56" s="176" t="n"/>
      <c r="D56" s="227" t="n">
        <v>2512.46</v>
      </c>
      <c r="E56" s="176" t="n"/>
      <c r="F56" s="181" t="n"/>
      <c r="G56" s="149" t="inlineStr">
        <is>
          <t>MANAGER:</t>
        </is>
      </c>
      <c r="H56" s="176" t="n"/>
      <c r="I56" s="149" t="n"/>
      <c r="J56" s="68" t="inlineStr">
        <is>
          <t>Subash Valrani</t>
        </is>
      </c>
      <c r="K56" s="56" t="n"/>
      <c r="L56" s="73" t="n"/>
      <c r="M56" s="149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0" t="inlineStr">
        <is>
          <t>GRAND TOTAL</t>
        </is>
      </c>
      <c r="B57" s="178" t="n"/>
      <c r="C57" s="178" t="n"/>
      <c r="D57" s="228" t="n">
        <v>23449.65</v>
      </c>
      <c r="E57" s="178" t="n"/>
      <c r="F57" s="179" t="n"/>
      <c r="G57" s="167" t="n"/>
      <c r="H57" s="167" t="n"/>
      <c r="I57" s="167" t="n"/>
      <c r="J57" s="68" t="n"/>
      <c r="K57" s="56" t="n"/>
      <c r="L57" s="73" t="n"/>
      <c r="M57" s="229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0" t="inlineStr">
        <is>
          <t>Selling Price</t>
        </is>
      </c>
      <c r="B58" s="178" t="n"/>
      <c r="C58" s="178" t="n"/>
      <c r="D58" s="228" t="n">
        <v>31433.85</v>
      </c>
      <c r="E58" s="178" t="n"/>
      <c r="F58" s="179" t="n"/>
      <c r="G58" s="167" t="n"/>
      <c r="H58" s="178" t="n"/>
      <c r="I58" s="167" t="n"/>
      <c r="J58" s="68" t="n"/>
      <c r="K58" s="56" t="n"/>
      <c r="L58" s="73" t="n"/>
      <c r="M58" s="183" t="n"/>
      <c r="N58" s="176" t="n"/>
      <c r="O58" s="181" t="n"/>
      <c r="P58" s="230" t="n"/>
      <c r="Q58" s="178" t="n"/>
      <c r="R58" s="179" t="n"/>
    </row>
    <row r="59" ht="15.75" customFormat="1" customHeight="1" s="172" thickBot="1">
      <c r="A59" s="160" t="inlineStr">
        <is>
          <t>Net Profit</t>
        </is>
      </c>
      <c r="B59" s="178" t="n"/>
      <c r="C59" s="178" t="n"/>
      <c r="D59" s="228" t="n">
        <v>7984.2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231" t="n">
        <v>0.2540000668069613</v>
      </c>
      <c r="K61" s="57" t="n"/>
    </row>
    <row r="62" ht="15.75" customFormat="1" customHeight="1" s="172">
      <c r="A62" s="45" t="n"/>
      <c r="B62" s="222">
        <f>D58-D55</f>
        <v/>
      </c>
      <c r="D62" s="222" t="n"/>
      <c r="F62" s="232" t="n"/>
      <c r="H62" s="222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5" t="n"/>
    </row>
    <row r="68">
      <c r="K68" s="155" t="n"/>
    </row>
    <row r="69">
      <c r="K69" s="155" t="n"/>
    </row>
    <row r="70" customFormat="1" s="172">
      <c r="K70" s="155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33" t="inlineStr">
        <is>
          <t>RATE CONFIGURATION SNAPSHOT</t>
        </is>
      </c>
    </row>
    <row r="3">
      <c r="A3" s="234" t="inlineStr">
        <is>
          <t>Parameter</t>
        </is>
      </c>
      <c r="B3" s="234" t="inlineStr">
        <is>
          <t>Value</t>
        </is>
      </c>
      <c r="C3" s="234" t="inlineStr">
        <is>
          <t>Unit</t>
        </is>
      </c>
    </row>
    <row r="4">
      <c r="A4" s="235" t="inlineStr">
        <is>
          <t>material_rate_per_kg</t>
        </is>
      </c>
      <c r="B4" s="236" t="n">
        <v>3.5</v>
      </c>
      <c r="C4" s="235" t="inlineStr">
        <is>
          <t>AED/kg</t>
        </is>
      </c>
    </row>
    <row r="5">
      <c r="A5" s="235" t="inlineStr">
        <is>
          <t>bolt_rate_per_nos</t>
        </is>
      </c>
      <c r="B5" s="236" t="n">
        <v>12.5</v>
      </c>
      <c r="C5" s="235" t="inlineStr"/>
    </row>
    <row r="6">
      <c r="A6" s="235" t="inlineStr">
        <is>
          <t>bolt_rate_m16_per_nos</t>
        </is>
      </c>
      <c r="B6" s="236" t="n">
        <v>8.5</v>
      </c>
      <c r="C6" s="235" t="inlineStr"/>
    </row>
    <row r="7">
      <c r="A7" s="235" t="inlineStr">
        <is>
          <t>paint_material_rate_per_litre</t>
        </is>
      </c>
      <c r="B7" s="236" t="n">
        <v>21</v>
      </c>
      <c r="C7" s="235" t="inlineStr"/>
    </row>
    <row r="8">
      <c r="A8" s="235" t="inlineStr">
        <is>
          <t>paint_litres_per_kg</t>
        </is>
      </c>
      <c r="B8" s="236" t="n">
        <v>0.01538</v>
      </c>
      <c r="C8" s="235" t="inlineStr"/>
    </row>
    <row r="9">
      <c r="A9" s="235" t="inlineStr">
        <is>
          <t>welding_hourly_rate</t>
        </is>
      </c>
      <c r="B9" s="236" t="n">
        <v>45</v>
      </c>
      <c r="C9" s="235" t="inlineStr">
        <is>
          <t>AED/hr</t>
        </is>
      </c>
    </row>
    <row r="10">
      <c r="A10" s="235" t="inlineStr">
        <is>
          <t>welding_factor_hr_per_kg</t>
        </is>
      </c>
      <c r="B10" s="236" t="n">
        <v>0.02051</v>
      </c>
      <c r="C10" s="235" t="inlineStr"/>
    </row>
    <row r="11">
      <c r="A11" s="235" t="inlineStr">
        <is>
          <t>fabrication_hourly_rate</t>
        </is>
      </c>
      <c r="B11" s="236" t="n">
        <v>45</v>
      </c>
      <c r="C11" s="235" t="inlineStr">
        <is>
          <t>AED/hr</t>
        </is>
      </c>
    </row>
    <row r="12">
      <c r="A12" s="235" t="inlineStr">
        <is>
          <t>fabrication_factor_hr_per_kg</t>
        </is>
      </c>
      <c r="B12" s="236" t="n">
        <v>0.04102</v>
      </c>
      <c r="C12" s="235" t="inlineStr"/>
    </row>
    <row r="13">
      <c r="A13" s="235" t="inlineStr">
        <is>
          <t>blasting_rate_per_m2</t>
        </is>
      </c>
      <c r="B13" s="236" t="n">
        <v>9</v>
      </c>
      <c r="C13" s="235" t="inlineStr"/>
    </row>
    <row r="14">
      <c r="A14" s="235" t="inlineStr">
        <is>
          <t>painting_rate_per_m2</t>
        </is>
      </c>
      <c r="B14" s="236" t="n">
        <v>11</v>
      </c>
      <c r="C14" s="235" t="inlineStr"/>
    </row>
    <row r="15">
      <c r="A15" s="235" t="inlineStr">
        <is>
          <t>surface_area_factor_m2_per_kg</t>
        </is>
      </c>
      <c r="B15" s="236" t="n">
        <v>0.0256</v>
      </c>
      <c r="C15" s="235" t="inlineStr"/>
    </row>
    <row r="16">
      <c r="A16" s="235" t="inlineStr">
        <is>
          <t>consumables_rate_per_kg_steel</t>
        </is>
      </c>
      <c r="B16" s="236" t="n">
        <v>0.6855</v>
      </c>
      <c r="C16" s="235" t="inlineStr"/>
    </row>
    <row r="17">
      <c r="A17" s="235" t="inlineStr">
        <is>
          <t>mpi_rate_per_visit</t>
        </is>
      </c>
      <c r="B17" s="236" t="n">
        <v>600</v>
      </c>
      <c r="C17" s="235" t="inlineStr"/>
    </row>
    <row r="18">
      <c r="A18" s="235" t="inlineStr">
        <is>
          <t>mpi_kg_per_visit</t>
        </is>
      </c>
      <c r="B18" s="236" t="n">
        <v>800</v>
      </c>
      <c r="C18" s="235" t="inlineStr"/>
    </row>
    <row r="19">
      <c r="A19" s="235" t="inlineStr">
        <is>
          <t>galvanizing_rate_per_kg</t>
        </is>
      </c>
      <c r="B19" s="236" t="n">
        <v>2</v>
      </c>
      <c r="C19" s="235" t="inlineStr"/>
    </row>
    <row r="20">
      <c r="A20" s="235" t="inlineStr">
        <is>
          <t>qaqc_fixed</t>
        </is>
      </c>
      <c r="B20" s="236" t="n">
        <v>3000</v>
      </c>
      <c r="C20" s="235" t="inlineStr"/>
    </row>
    <row r="21">
      <c r="A21" s="235" t="inlineStr">
        <is>
          <t>packing_fixed</t>
        </is>
      </c>
      <c r="B21" s="236" t="n">
        <v>3000</v>
      </c>
      <c r="C21" s="235" t="inlineStr"/>
    </row>
    <row r="22">
      <c r="A22" s="235" t="inlineStr">
        <is>
          <t>overhead_percentage</t>
        </is>
      </c>
      <c r="B22" s="236" t="n">
        <v>12</v>
      </c>
      <c r="C22" s="235" t="inlineStr">
        <is>
          <t>%</t>
        </is>
      </c>
    </row>
    <row r="23">
      <c r="A23" s="235" t="inlineStr">
        <is>
          <t>profit_margin_on_sell_pct</t>
        </is>
      </c>
      <c r="B23" s="236" t="n">
        <v>25.4</v>
      </c>
      <c r="C23" s="235" t="inlineStr"/>
    </row>
    <row r="24">
      <c r="A24" s="235" t="inlineStr">
        <is>
          <t>steel_density_kg_m3</t>
        </is>
      </c>
      <c r="B24" s="236" t="n">
        <v>7850</v>
      </c>
      <c r="C24" s="235" t="inlineStr"/>
    </row>
    <row r="25">
      <c r="A25" s="235" t="inlineStr">
        <is>
          <t>fabrication_rate_per_kg</t>
        </is>
      </c>
      <c r="B25" s="236" t="n">
        <v>6</v>
      </c>
      <c r="C25" s="235" t="inlineStr"/>
    </row>
    <row r="26">
      <c r="A26" s="235" t="inlineStr">
        <is>
          <t>manhour_factor_hr_per_kg</t>
        </is>
      </c>
      <c r="B26" s="236" t="n">
        <v>0.15</v>
      </c>
      <c r="C26" s="235" t="inlineStr"/>
    </row>
    <row r="27">
      <c r="A27" s="235" t="inlineStr">
        <is>
          <t>welding_time_per_m_hr</t>
        </is>
      </c>
      <c r="B27" s="236" t="n">
        <v>0.8</v>
      </c>
      <c r="C27" s="235" t="inlineStr"/>
    </row>
    <row r="28">
      <c r="A28" s="235" t="inlineStr">
        <is>
          <t>consumable_factor_kg_per_m</t>
        </is>
      </c>
      <c r="B28" s="236" t="n">
        <v>0.12</v>
      </c>
      <c r="C28" s="235" t="inlineStr"/>
    </row>
    <row r="29">
      <c r="A29" s="235" t="inlineStr">
        <is>
          <t>consumable_unit_rate</t>
        </is>
      </c>
      <c r="B29" s="236" t="n">
        <v>15</v>
      </c>
      <c r="C29" s="235" t="inlineStr"/>
    </row>
    <row r="30">
      <c r="A30" s="235" t="inlineStr">
        <is>
          <t>cutting_rate_per_cut</t>
        </is>
      </c>
      <c r="B30" s="236" t="n">
        <v>25</v>
      </c>
      <c r="C30" s="235" t="inlineStr"/>
    </row>
    <row r="31">
      <c r="A31" s="235" t="inlineStr">
        <is>
          <t>surface_treatment_rate_per_m2</t>
        </is>
      </c>
      <c r="B31" s="236" t="n">
        <v>55</v>
      </c>
      <c r="C31" s="235" t="inlineStr">
        <is>
          <t>AED/m2</t>
        </is>
      </c>
    </row>
    <row r="32">
      <c r="A32" s="235" t="inlineStr">
        <is>
          <t>profit_margin_percentage</t>
        </is>
      </c>
      <c r="B32" s="236" t="n">
        <v>15</v>
      </c>
      <c r="C32" s="235" t="inlineStr">
        <is>
          <t>%</t>
        </is>
      </c>
    </row>
    <row r="33">
      <c r="A33" s="235" t="inlineStr">
        <is>
          <t>weld_length_per_joint_mm</t>
        </is>
      </c>
      <c r="B33" s="236" t="n">
        <v>150</v>
      </c>
      <c r="C33" s="235" t="inlineStr"/>
    </row>
    <row r="34">
      <c r="A34" s="235" t="inlineStr">
        <is>
          <t>structural_steel_aed_per_kg</t>
        </is>
      </c>
      <c r="B34" s="236" t="n">
        <v>5.5</v>
      </c>
      <c r="C34" s="235" t="inlineStr"/>
    </row>
    <row r="35">
      <c r="A35" s="235" t="inlineStr">
        <is>
          <t>stainless_steel_aed_per_kg</t>
        </is>
      </c>
      <c r="B35" s="236" t="n">
        <v>22</v>
      </c>
      <c r="C35" s="235" t="inlineStr"/>
    </row>
    <row r="36">
      <c r="A36" s="235" t="inlineStr">
        <is>
          <t>bolt_m16_aed_per_piece</t>
        </is>
      </c>
      <c r="B36" s="236" t="n">
        <v>2.5</v>
      </c>
      <c r="C36" s="235" t="inlineStr"/>
    </row>
    <row r="37">
      <c r="A37" s="235" t="inlineStr">
        <is>
          <t>bolt_m20_aed_per_piece</t>
        </is>
      </c>
      <c r="B37" s="236" t="n">
        <v>3.8</v>
      </c>
      <c r="C37" s="235" t="inlineStr"/>
    </row>
    <row r="38">
      <c r="A38" s="235" t="inlineStr">
        <is>
          <t>bolt_m24_aed_per_piece</t>
        </is>
      </c>
      <c r="B38" s="236" t="n">
        <v>5.2</v>
      </c>
      <c r="C38" s="235" t="inlineStr"/>
    </row>
    <row r="39">
      <c r="A39" s="235" t="inlineStr">
        <is>
          <t>consumables_percentage_of_steel</t>
        </is>
      </c>
      <c r="B39" s="236" t="n">
        <v>3.5</v>
      </c>
      <c r="C39" s="235" t="inlineStr"/>
    </row>
    <row r="40">
      <c r="A40" s="235" t="inlineStr">
        <is>
          <t>paint_2pack_epoxy_aed_per_litre</t>
        </is>
      </c>
      <c r="B40" s="236" t="n">
        <v>85</v>
      </c>
      <c r="C40" s="235" t="inlineStr"/>
    </row>
    <row r="41">
      <c r="A41" s="235" t="inlineStr">
        <is>
          <t>paint_coverage_factor_m2_per_litre</t>
        </is>
      </c>
      <c r="B41" s="236" t="n">
        <v>6.67</v>
      </c>
      <c r="C41" s="235" t="inlineStr"/>
    </row>
    <row r="42">
      <c r="A42" s="235" t="inlineStr">
        <is>
          <t>labour_hourly_rate_aed</t>
        </is>
      </c>
      <c r="B42" s="236" t="n">
        <v>35</v>
      </c>
      <c r="C42" s="235" t="inlineStr"/>
    </row>
    <row r="43">
      <c r="A43" s="235" t="inlineStr">
        <is>
          <t>welding_manhours_per_kg</t>
        </is>
      </c>
      <c r="B43" s="236" t="n">
        <v>0.35</v>
      </c>
      <c r="C43" s="235" t="inlineStr"/>
    </row>
    <row r="44">
      <c r="A44" s="235" t="inlineStr">
        <is>
          <t>fabrication_manhours_per_kg</t>
        </is>
      </c>
      <c r="B44" s="236" t="n">
        <v>0.28</v>
      </c>
      <c r="C44" s="235" t="inlineStr"/>
    </row>
    <row r="45">
      <c r="A45" s="235" t="inlineStr">
        <is>
          <t>fitting_manhours_per_kg</t>
        </is>
      </c>
      <c r="B45" s="236" t="n">
        <v>0.18</v>
      </c>
      <c r="C45" s="235" t="inlineStr"/>
    </row>
    <row r="46">
      <c r="A46" s="235" t="inlineStr">
        <is>
          <t>grinding_manhours_per_kg</t>
        </is>
      </c>
      <c r="B46" s="236" t="n">
        <v>0.07000000000000001</v>
      </c>
      <c r="C46" s="235" t="inlineStr"/>
    </row>
    <row r="47">
      <c r="A47" s="235" t="inlineStr">
        <is>
          <t>galvanizing_aed_per_kg</t>
        </is>
      </c>
      <c r="B47" s="236" t="n">
        <v>3.2</v>
      </c>
      <c r="C47" s="235" t="inlineStr"/>
    </row>
    <row r="48">
      <c r="A48" s="235" t="inlineStr">
        <is>
          <t>blasting_sa25_aed_per_m2</t>
        </is>
      </c>
      <c r="B48" s="236" t="n">
        <v>12</v>
      </c>
      <c r="C48" s="235" t="inlineStr"/>
    </row>
    <row r="49">
      <c r="A49" s="235" t="inlineStr">
        <is>
          <t>painting_aed_per_m2</t>
        </is>
      </c>
      <c r="B49" s="236" t="n">
        <v>18</v>
      </c>
      <c r="C49" s="235" t="inlineStr"/>
    </row>
    <row r="50">
      <c r="A50" s="235" t="inlineStr">
        <is>
          <t>transport_percentage_of_total</t>
        </is>
      </c>
      <c r="B50" s="236" t="n">
        <v>2.5</v>
      </c>
      <c r="C50" s="235" t="inlineStr"/>
    </row>
    <row r="51">
      <c r="A51" s="235" t="inlineStr">
        <is>
          <t>transport_minimum_aed</t>
        </is>
      </c>
      <c r="B51" s="236" t="n">
        <v>1500</v>
      </c>
      <c r="C51" s="235" t="inlineStr"/>
    </row>
    <row r="52">
      <c r="A52" s="235" t="inlineStr">
        <is>
          <t>standard_schedule_weeks</t>
        </is>
      </c>
      <c r="B52" s="236" t="n">
        <v>4</v>
      </c>
      <c r="C52" s="235" t="inlineStr"/>
    </row>
    <row r="53">
      <c r="A53" s="235" t="inlineStr">
        <is>
          <t>rush_surcharge_percentage</t>
        </is>
      </c>
      <c r="B53" s="236" t="n">
        <v>20</v>
      </c>
      <c r="C53" s="235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33" t="inlineStr">
        <is>
          <t>CALCULATION AUDIT TRAIL</t>
        </is>
      </c>
    </row>
    <row r="2">
      <c r="A2" s="234" t="inlineStr">
        <is>
          <t>Step / Item</t>
        </is>
      </c>
      <c r="B2" s="234" t="inlineStr">
        <is>
          <t>Status</t>
        </is>
      </c>
      <c r="C2" s="234" t="inlineStr">
        <is>
          <t>Details</t>
        </is>
      </c>
    </row>
    <row r="3">
      <c r="A3" s="237" t="inlineStr">
        <is>
          <t>CS-2620-001</t>
        </is>
      </c>
      <c r="B3" s="237" t="inlineStr">
        <is>
          <t>weight_ok</t>
        </is>
      </c>
      <c r="C3" s="237" t="inlineStr">
        <is>
          <t>{'weight_kg': 0.0}</t>
        </is>
      </c>
    </row>
    <row r="4">
      <c r="A4" s="237" t="inlineStr">
        <is>
          <t>CS-2620-001</t>
        </is>
      </c>
      <c r="B4" s="237" t="inlineStr">
        <is>
          <t>weight_ok</t>
        </is>
      </c>
      <c r="C4" s="237" t="inlineStr">
        <is>
          <t>{'weight_kg': 0.0}</t>
        </is>
      </c>
    </row>
    <row r="5">
      <c r="A5" s="237" t="inlineStr">
        <is>
          <t>CS-2620-001</t>
        </is>
      </c>
      <c r="B5" s="237" t="inlineStr">
        <is>
          <t>weight_ok</t>
        </is>
      </c>
      <c r="C5" s="237" t="inlineStr">
        <is>
          <t>{'weight_kg': 20.017}</t>
        </is>
      </c>
    </row>
    <row r="6">
      <c r="A6" s="237" t="inlineStr">
        <is>
          <t>CS-2620-001</t>
        </is>
      </c>
      <c r="B6" s="237" t="inlineStr">
        <is>
          <t>weight_ok</t>
        </is>
      </c>
      <c r="C6" s="237" t="inlineStr">
        <is>
          <t>{'weight_kg': 3.768}</t>
        </is>
      </c>
    </row>
    <row r="7">
      <c r="A7" s="237" t="inlineStr">
        <is>
          <t>CS-2620-002</t>
        </is>
      </c>
      <c r="B7" s="237" t="inlineStr">
        <is>
          <t>weight_ok</t>
        </is>
      </c>
      <c r="C7" s="237" t="inlineStr">
        <is>
          <t>{'weight_kg': 0.0}</t>
        </is>
      </c>
    </row>
    <row r="8">
      <c r="A8" s="237" t="inlineStr">
        <is>
          <t>CS-2620-002</t>
        </is>
      </c>
      <c r="B8" s="237" t="inlineStr">
        <is>
          <t>weight_ok</t>
        </is>
      </c>
      <c r="C8" s="237" t="inlineStr">
        <is>
          <t>{'weight_kg': 0.0}</t>
        </is>
      </c>
    </row>
    <row r="9">
      <c r="A9" s="237" t="inlineStr">
        <is>
          <t>CS-2620-002</t>
        </is>
      </c>
      <c r="B9" s="237" t="inlineStr">
        <is>
          <t>weight_ok</t>
        </is>
      </c>
      <c r="C9" s="237" t="inlineStr">
        <is>
          <t>{'weight_kg': 3.768}</t>
        </is>
      </c>
    </row>
    <row r="10">
      <c r="A10" s="237" t="inlineStr">
        <is>
          <t>CS-2620-003</t>
        </is>
      </c>
      <c r="B10" s="237" t="inlineStr">
        <is>
          <t>weight_ok</t>
        </is>
      </c>
      <c r="C10" s="237" t="inlineStr">
        <is>
          <t>{'weight_kg': 0.0}</t>
        </is>
      </c>
    </row>
    <row r="11">
      <c r="A11" s="237" t="inlineStr">
        <is>
          <t>CS-2620-003</t>
        </is>
      </c>
      <c r="B11" s="237" t="inlineStr">
        <is>
          <t>weight_ok</t>
        </is>
      </c>
      <c r="C11" s="237" t="inlineStr">
        <is>
          <t>{'weight_kg': 0.0}</t>
        </is>
      </c>
    </row>
    <row r="12">
      <c r="A12" s="237" t="inlineStr">
        <is>
          <t>CS-2620-003</t>
        </is>
      </c>
      <c r="B12" s="237" t="inlineStr">
        <is>
          <t>weight_ok</t>
        </is>
      </c>
      <c r="C12" s="237" t="inlineStr">
        <is>
          <t>{'weight_kg': 3.768}</t>
        </is>
      </c>
    </row>
    <row r="13">
      <c r="A13" s="237" t="inlineStr">
        <is>
          <t>CS-2620-004</t>
        </is>
      </c>
      <c r="B13" s="237" t="inlineStr">
        <is>
          <t>weight_ok</t>
        </is>
      </c>
      <c r="C13" s="237" t="inlineStr">
        <is>
          <t>{'weight_kg': 0.0}</t>
        </is>
      </c>
    </row>
    <row r="14">
      <c r="A14" s="237" t="inlineStr">
        <is>
          <t>CS-2620-004</t>
        </is>
      </c>
      <c r="B14" s="237" t="inlineStr">
        <is>
          <t>weight_ok</t>
        </is>
      </c>
      <c r="C14" s="237" t="inlineStr">
        <is>
          <t>{'weight_kg': 0.0}</t>
        </is>
      </c>
    </row>
    <row r="15">
      <c r="A15" s="237" t="inlineStr">
        <is>
          <t>CS-2620-004</t>
        </is>
      </c>
      <c r="B15" s="237" t="inlineStr">
        <is>
          <t>weight_ok</t>
        </is>
      </c>
      <c r="C15" s="237" t="inlineStr">
        <is>
          <t>{'weight_kg': 3.768}</t>
        </is>
      </c>
    </row>
    <row r="16">
      <c r="A16" s="237" t="inlineStr">
        <is>
          <t>CS-2620-005</t>
        </is>
      </c>
      <c r="B16" s="237" t="inlineStr">
        <is>
          <t>weight_ok</t>
        </is>
      </c>
      <c r="C16" s="237" t="inlineStr">
        <is>
          <t>{'weight_kg': 0.0}</t>
        </is>
      </c>
    </row>
    <row r="17">
      <c r="A17" s="237" t="inlineStr">
        <is>
          <t>CS-2620-005</t>
        </is>
      </c>
      <c r="B17" s="237" t="inlineStr">
        <is>
          <t>weight_ok</t>
        </is>
      </c>
      <c r="C17" s="237" t="inlineStr">
        <is>
          <t>{'weight_kg': 0.0}</t>
        </is>
      </c>
    </row>
    <row r="18">
      <c r="A18" s="237" t="inlineStr">
        <is>
          <t>CS-2620-005</t>
        </is>
      </c>
      <c r="B18" s="237" t="inlineStr">
        <is>
          <t>weight_ok</t>
        </is>
      </c>
      <c r="C18" s="237" t="inlineStr">
        <is>
          <t>{'weight_kg': 3.768}</t>
        </is>
      </c>
    </row>
    <row r="19">
      <c r="A19" s="237" t="inlineStr">
        <is>
          <t>CS-2620-006</t>
        </is>
      </c>
      <c r="B19" s="237" t="inlineStr">
        <is>
          <t>weight_ok</t>
        </is>
      </c>
      <c r="C19" s="237" t="inlineStr">
        <is>
          <t>{'weight_kg': 0.0}</t>
        </is>
      </c>
    </row>
    <row r="20">
      <c r="A20" s="237" t="inlineStr">
        <is>
          <t>CS-2620-006</t>
        </is>
      </c>
      <c r="B20" s="237" t="inlineStr">
        <is>
          <t>weight_ok</t>
        </is>
      </c>
      <c r="C20" s="237" t="inlineStr">
        <is>
          <t>{'weight_kg': 0.0}</t>
        </is>
      </c>
    </row>
    <row r="21">
      <c r="A21" s="237" t="inlineStr">
        <is>
          <t>CS-2620-006</t>
        </is>
      </c>
      <c r="B21" s="237" t="inlineStr">
        <is>
          <t>weight_ok</t>
        </is>
      </c>
      <c r="C21" s="237" t="inlineStr">
        <is>
          <t>{'weight_kg': 3.768}</t>
        </is>
      </c>
    </row>
    <row r="22">
      <c r="A22" s="237" t="inlineStr">
        <is>
          <t>CS-2620-007</t>
        </is>
      </c>
      <c r="B22" s="237" t="inlineStr">
        <is>
          <t>weight_ok</t>
        </is>
      </c>
      <c r="C22" s="237" t="inlineStr">
        <is>
          <t>{'weight_kg': 0.0}</t>
        </is>
      </c>
    </row>
    <row r="23">
      <c r="A23" s="237" t="inlineStr">
        <is>
          <t>CS-2620-007</t>
        </is>
      </c>
      <c r="B23" s="237" t="inlineStr">
        <is>
          <t>weight_ok</t>
        </is>
      </c>
      <c r="C23" s="237" t="inlineStr">
        <is>
          <t>{'weight_kg': 0.0}</t>
        </is>
      </c>
    </row>
    <row r="24">
      <c r="A24" s="237" t="inlineStr">
        <is>
          <t>CS-2620-007</t>
        </is>
      </c>
      <c r="B24" s="237" t="inlineStr">
        <is>
          <t>weight_ok</t>
        </is>
      </c>
      <c r="C24" s="237" t="inlineStr">
        <is>
          <t>{'weight_kg': 3.768}</t>
        </is>
      </c>
    </row>
    <row r="25">
      <c r="A25" s="237" t="inlineStr">
        <is>
          <t>CS-2620-009</t>
        </is>
      </c>
      <c r="B25" s="237" t="inlineStr">
        <is>
          <t>weight_ok</t>
        </is>
      </c>
      <c r="C25" s="237" t="inlineStr">
        <is>
          <t>{'weight_kg': 0.0}</t>
        </is>
      </c>
    </row>
    <row r="26">
      <c r="A26" s="237" t="inlineStr">
        <is>
          <t>CS-2620-009</t>
        </is>
      </c>
      <c r="B26" s="237" t="inlineStr">
        <is>
          <t>weight_ok</t>
        </is>
      </c>
      <c r="C26" s="237" t="inlineStr">
        <is>
          <t>{'weight_kg': 0.0}</t>
        </is>
      </c>
    </row>
    <row r="27">
      <c r="A27" s="237" t="inlineStr">
        <is>
          <t>C&amp;J_10_step_aggregate</t>
        </is>
      </c>
      <c r="B27" s="237" t="inlineStr">
        <is>
          <t>ok</t>
        </is>
      </c>
      <c r="C27" s="237" t="inlineStr">
        <is>
          <t>{'total_steel_kg': 1284.6, 'step1_steel': 4496.1, 'step2_bolts': '72 nos × 12.5 = 900.0', 'step3_paint': '18.5 L × 21.0 = 388.5', 'step4_welding': '38.4 hrs × 45.0 = 1728.0', 'step5_fabrication': '64.0 hrs × 45.0 = 2880.0', 'step6_blasting': '123.2 m² × 9.0 = 1108.8', 'step6_painting': '123.2 m² × 11.0 = 1355.2', 'step7_consumables': 880.59, 'step8_mpi': '2 visits × 600.0 = 1200.0', 'step9_fixed': 'QA/QC 3000.0 + Packing 3000.0', 'total_direct': 20937.19, 'overhead': '12.0% = 2512.46', 'grand_total': 23449.65, 'selling_price': 31433.85, 'net_profit': 7984.2}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2026-04-26T16:59:59Z</dcterms:modified>
  <cp:lastModifiedBy>t11771</cp:lastModifiedBy>
</cp:coreProperties>
</file>