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142676- Structure Frame" sheetId="2" r:id="rId1"/>
  </sheets>
  <definedNames>
    <definedName name="_xlnm.Print_Area" localSheetId="0">'142676- Structure Frame'!$A$1:$R$58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<sst xmlns="http://schemas.openxmlformats.org/spreadsheetml/2006/main" count="136" uniqueCount="95">
  <si>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C&amp;J GULF EQUIPMENT MANUFACTURING L.L.C</t>
  </si>
  <si>
    <t xml:space="preserve"> Job Costing Sheet</t>
  </si>
  <si>
    <t xml:space="preserve">REF NO: </t>
  </si>
  <si>
    <t>CUSTOMER NAME</t>
  </si>
  <si>
    <t>ENQUIRY No</t>
  </si>
  <si>
    <t>CUSTOMER CODE</t>
  </si>
  <si>
    <t>ATTENTION OF</t>
  </si>
  <si>
    <t>JOB NO.</t>
  </si>
  <si>
    <t>EMAIL</t>
  </si>
  <si>
    <t>CONTACT NO:</t>
  </si>
  <si>
    <t>JORL DATE:</t>
  </si>
  <si>
    <t>PROJECT PACKAGE DETAILS</t>
  </si>
  <si>
    <t>MODULE WORK</t>
  </si>
  <si>
    <t>X</t>
  </si>
  <si>
    <t>CUSTOMER P.O. Ref :</t>
  </si>
  <si>
    <t xml:space="preserve"> SALES EMPOLOYEE CODE</t>
  </si>
  <si>
    <t>NETSUITE INVOICE NO:</t>
  </si>
  <si>
    <t>NETSUITE AGEING REPORT:</t>
  </si>
  <si>
    <t>PENDING PAYMENT</t>
  </si>
  <si>
    <t>COST AT OFFER ACCEPTANCE AS PER ESTIMATION</t>
  </si>
  <si>
    <t>ACTUAL MANUFACTURING COST</t>
  </si>
  <si>
    <t>Sr No</t>
  </si>
  <si>
    <t>Item Description</t>
  </si>
  <si>
    <t>Qty</t>
  </si>
  <si>
    <t>Unit</t>
  </si>
  <si>
    <t>Manhours</t>
  </si>
  <si>
    <t>Unit cost</t>
  </si>
  <si>
    <t>Total cost</t>
  </si>
  <si>
    <t xml:space="preserve">Remarks </t>
  </si>
  <si>
    <t>Remarks</t>
  </si>
  <si>
    <t>Structural Work</t>
  </si>
  <si>
    <t>Design, Drafting &amp; Drawing Charges</t>
  </si>
  <si>
    <t>lot</t>
  </si>
  <si>
    <t>Gaps in customer design</t>
  </si>
  <si>
    <t>BOM/BOQ Preparation</t>
  </si>
  <si>
    <t>Changes in BOM due to Design change</t>
  </si>
  <si>
    <t>Technical recommendations to customer</t>
  </si>
  <si>
    <t>Gaps in our estimation</t>
  </si>
  <si>
    <t xml:space="preserve">Material Cost </t>
  </si>
  <si>
    <t>Pipe 3'' Pipe Sch 40 thk 105 mm  Lg.</t>
  </si>
  <si>
    <t xml:space="preserve">Suctural Steel Material </t>
  </si>
  <si>
    <t>Kg</t>
  </si>
  <si>
    <t>Handrails</t>
  </si>
  <si>
    <t>Grating</t>
  </si>
  <si>
    <t>Paint Material</t>
  </si>
  <si>
    <t>litres</t>
  </si>
  <si>
    <t>Material Inspection Charges</t>
  </si>
  <si>
    <t>Labour &amp; Fabrication Cost</t>
  </si>
  <si>
    <t>Structural Welding considering 16 labor hours per day for 10 Days</t>
  </si>
  <si>
    <t>3 Welder</t>
  </si>
  <si>
    <t>Structuralt Fabrication considering 32 labor hours per day for 10 Days</t>
  </si>
  <si>
    <t>3 Fabricator 3 Helper</t>
  </si>
  <si>
    <t xml:space="preserve">Hydrotesting </t>
  </si>
  <si>
    <t>Inch Dia</t>
  </si>
  <si>
    <t>Machining 8 labour hours per day for 4 days</t>
  </si>
  <si>
    <t>Consumables</t>
  </si>
  <si>
    <t>Subcontractor Costing</t>
  </si>
  <si>
    <t>Machining &amp; Threading</t>
  </si>
  <si>
    <t>Pcs</t>
  </si>
  <si>
    <t>Testing &amp; Quality Control</t>
  </si>
  <si>
    <t>100% MPI/DPT</t>
  </si>
  <si>
    <t>Visits</t>
  </si>
  <si>
    <t>Surface Preparation &amp; Coating</t>
  </si>
  <si>
    <t>Galvanizing Work</t>
  </si>
  <si>
    <t>Blasting (13.3 Sq M per hour)</t>
  </si>
  <si>
    <t>SQM</t>
  </si>
  <si>
    <t>1 Blaster 1 Helper</t>
  </si>
  <si>
    <t>Painting(6.65 Sq M per hour for 3 coat paint system)</t>
  </si>
  <si>
    <t>1 Painter 1 Helper</t>
  </si>
  <si>
    <t>Third-Party Inspection (TPI)</t>
  </si>
  <si>
    <t>QA/QC Documentation &amp; Certification</t>
  </si>
  <si>
    <t>Packing and loading</t>
  </si>
  <si>
    <t>Lot</t>
  </si>
  <si>
    <t>Insurance</t>
  </si>
  <si>
    <t>Permits, Licenses &amp; Regulatory Fees</t>
  </si>
  <si>
    <t>Nos</t>
  </si>
  <si>
    <t>Equipment Rental &amp; Maintenance</t>
  </si>
  <si>
    <t>Contingency Fund</t>
  </si>
  <si>
    <t>Taxes &amp; Duties</t>
  </si>
  <si>
    <t>Warranty &amp; Guarantee Costs</t>
  </si>
  <si>
    <t>Project Management Fees</t>
  </si>
  <si>
    <t>Environmental Compliance Costs</t>
  </si>
  <si>
    <t>Training &amp; Certification</t>
  </si>
  <si>
    <t>Marketing &amp; Sales Costs</t>
  </si>
  <si>
    <t>ESTIMATION
 ENGR.</t>
  </si>
  <si>
    <t>Sachin Ahire</t>
  </si>
  <si>
    <t>PLANNING
 ENGR.</t>
  </si>
  <si>
    <t xml:space="preserve">19.Overheads </t>
  </si>
  <si>
    <t>MANAGER:</t>
  </si>
  <si>
    <t>Subash Valrani</t>
  </si>
  <si>
    <t>GRAND TOTAL</t>
  </si>
  <si>
    <t>ACCOUNTANT:</t>
  </si>
  <si>
    <t>Zeeshan</t>
  </si>
  <si>
    <t>Selling Price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</si>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</sst>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_ * #,##0.00_ ;_ * \-#,##0.00_ ;_ * &quot;-&quot;??_ ;_ @_ "/>
  </numFmts>
  <fonts count="41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sz val="9"/>
      <color theme="1"/>
      <name val="Times New Roman"/>
      <charset val="134"/>
    </font>
    <font>
      <b/>
      <sz val="8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8"/>
      <color theme="1"/>
      <name val="Times New Roman"/>
      <charset val="134"/>
    </font>
    <font>
      <sz val="9"/>
      <color theme="1"/>
      <name val="Arial"/>
      <charset val="134"/>
    </font>
    <font>
      <sz val="8"/>
      <color theme="0" tint="-0.349986266670736"/>
      <name val="Arial"/>
      <charset val="134"/>
    </font>
    <font>
      <sz val="8"/>
      <color theme="1"/>
      <name val="Arial"/>
      <charset val="134"/>
    </font>
    <font>
      <b/>
      <sz val="9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name val="Tahoma"/>
      <charset val="134"/>
    </font>
    <font>
      <b/>
      <sz val="10"/>
      <color theme="1"/>
      <name val="Tahoma"/>
      <charset val="134"/>
    </font>
    <font>
      <b/>
      <u/>
      <sz val="10"/>
      <color theme="1"/>
      <name val="Tahoma"/>
      <charset val="134"/>
    </font>
    <font>
      <sz val="10"/>
      <color theme="1"/>
      <name val="Tahoma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1" fillId="5" borderId="4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47" applyNumberFormat="0" applyAlignment="0" applyProtection="0">
      <alignment vertical="center"/>
    </xf>
    <xf numFmtId="0" fontId="30" fillId="7" borderId="48" applyNumberFormat="0" applyAlignment="0" applyProtection="0">
      <alignment vertical="center"/>
    </xf>
    <xf numFmtId="0" fontId="31" fillId="7" borderId="47" applyNumberFormat="0" applyAlignment="0" applyProtection="0">
      <alignment vertical="center"/>
    </xf>
    <xf numFmtId="0" fontId="32" fillId="8" borderId="49" applyNumberFormat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0" borderId="0"/>
    <xf numFmtId="0" fontId="0" fillId="0" borderId="0"/>
  </cellStyleXfs>
  <cellXfs count="172">
    <xf numFmtId="0" fontId="0" fillId="0" borderId="0" xfId="0"/>
    <xf numFmtId="176" fontId="0" fillId="0" borderId="0" xfId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80" fontId="4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0" borderId="4" xfId="6" applyBorder="1" applyAlignment="1">
      <alignment horizontal="center" vertical="center" wrapText="1"/>
    </xf>
    <xf numFmtId="0" fontId="7" fillId="0" borderId="6" xfId="6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18" xfId="50" applyFont="1" applyBorder="1" applyAlignment="1">
      <alignment horizontal="center"/>
    </xf>
    <xf numFmtId="0" fontId="15" fillId="3" borderId="19" xfId="50" applyFont="1" applyFill="1" applyBorder="1" applyAlignment="1">
      <alignment horizontal="center" vertical="center"/>
    </xf>
    <xf numFmtId="0" fontId="16" fillId="4" borderId="20" xfId="51" applyFont="1" applyFill="1" applyBorder="1" applyAlignment="1">
      <alignment horizontal="left" vertical="center" wrapText="1"/>
    </xf>
    <xf numFmtId="0" fontId="16" fillId="4" borderId="21" xfId="51" applyFont="1" applyFill="1" applyBorder="1" applyAlignment="1">
      <alignment horizontal="left" vertical="center" wrapText="1"/>
    </xf>
    <xf numFmtId="176" fontId="17" fillId="3" borderId="22" xfId="49" applyFont="1" applyFill="1" applyBorder="1" applyAlignment="1">
      <alignment horizontal="left" vertical="center"/>
    </xf>
    <xf numFmtId="0" fontId="17" fillId="3" borderId="23" xfId="50" applyFont="1" applyFill="1" applyBorder="1" applyAlignment="1">
      <alignment horizontal="center" vertical="center"/>
    </xf>
    <xf numFmtId="4" fontId="17" fillId="3" borderId="23" xfId="50" applyNumberFormat="1" applyFont="1" applyFill="1" applyBorder="1" applyAlignment="1">
      <alignment horizontal="right" vertical="center"/>
    </xf>
    <xf numFmtId="4" fontId="17" fillId="3" borderId="23" xfId="50" applyNumberFormat="1" applyFont="1" applyFill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6" fillId="3" borderId="29" xfId="51" applyFont="1" applyFill="1" applyBorder="1" applyAlignment="1">
      <alignment horizontal="left" vertical="center" wrapText="1"/>
    </xf>
    <xf numFmtId="0" fontId="16" fillId="3" borderId="30" xfId="51" applyFont="1" applyFill="1" applyBorder="1" applyAlignment="1">
      <alignment horizontal="left" vertical="center" wrapText="1"/>
    </xf>
    <xf numFmtId="176" fontId="17" fillId="3" borderId="31" xfId="49" applyFont="1" applyFill="1" applyBorder="1" applyAlignment="1">
      <alignment horizontal="left" vertical="center"/>
    </xf>
    <xf numFmtId="0" fontId="17" fillId="3" borderId="26" xfId="50" applyFont="1" applyFill="1" applyBorder="1" applyAlignment="1">
      <alignment horizontal="center" vertical="center"/>
    </xf>
    <xf numFmtId="4" fontId="17" fillId="3" borderId="26" xfId="50" applyNumberFormat="1" applyFont="1" applyFill="1" applyBorder="1" applyAlignment="1">
      <alignment horizontal="right" vertical="center"/>
    </xf>
    <xf numFmtId="4" fontId="17" fillId="0" borderId="26" xfId="50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 wrapText="1"/>
    </xf>
    <xf numFmtId="0" fontId="16" fillId="3" borderId="20" xfId="51" applyFont="1" applyFill="1" applyBorder="1" applyAlignment="1">
      <alignment horizontal="left" vertical="center" wrapText="1"/>
    </xf>
    <xf numFmtId="0" fontId="16" fillId="3" borderId="21" xfId="51" applyFont="1" applyFill="1" applyBorder="1" applyAlignment="1">
      <alignment horizontal="left" vertical="center" wrapText="1"/>
    </xf>
    <xf numFmtId="0" fontId="16" fillId="3" borderId="33" xfId="51" applyFont="1" applyFill="1" applyBorder="1" applyAlignment="1">
      <alignment horizontal="left" vertical="center" wrapText="1"/>
    </xf>
    <xf numFmtId="176" fontId="17" fillId="3" borderId="25" xfId="49" applyFont="1" applyFill="1" applyBorder="1" applyAlignment="1">
      <alignment horizontal="left" vertical="center"/>
    </xf>
    <xf numFmtId="0" fontId="17" fillId="3" borderId="29" xfId="50" applyFont="1" applyFill="1" applyBorder="1" applyAlignment="1">
      <alignment horizontal="center" vertical="center"/>
    </xf>
    <xf numFmtId="0" fontId="17" fillId="3" borderId="31" xfId="51" applyFont="1" applyFill="1" applyBorder="1" applyAlignment="1">
      <alignment horizontal="left" vertical="center" wrapText="1"/>
    </xf>
    <xf numFmtId="0" fontId="17" fillId="3" borderId="26" xfId="51" applyFont="1" applyFill="1" applyBorder="1" applyAlignment="1">
      <alignment horizontal="left" vertical="center" wrapText="1"/>
    </xf>
    <xf numFmtId="0" fontId="17" fillId="3" borderId="32" xfId="51" applyFont="1" applyFill="1" applyBorder="1" applyAlignment="1">
      <alignment horizontal="left" vertical="center" wrapText="1"/>
    </xf>
    <xf numFmtId="0" fontId="17" fillId="3" borderId="19" xfId="50" applyFont="1" applyFill="1" applyBorder="1" applyAlignment="1">
      <alignment horizontal="center" vertical="center"/>
    </xf>
    <xf numFmtId="0" fontId="17" fillId="3" borderId="34" xfId="51" applyFont="1" applyFill="1" applyBorder="1" applyAlignment="1">
      <alignment horizontal="left" vertical="center" wrapText="1"/>
    </xf>
    <xf numFmtId="0" fontId="17" fillId="3" borderId="35" xfId="51" applyFont="1" applyFill="1" applyBorder="1" applyAlignment="1">
      <alignment horizontal="left" vertical="center" wrapText="1"/>
    </xf>
    <xf numFmtId="0" fontId="17" fillId="3" borderId="36" xfId="51" applyFont="1" applyFill="1" applyBorder="1" applyAlignment="1">
      <alignment horizontal="left" vertical="center" wrapText="1"/>
    </xf>
    <xf numFmtId="181" fontId="17" fillId="3" borderId="19" xfId="50" applyNumberFormat="1" applyFont="1" applyFill="1" applyBorder="1" applyAlignment="1">
      <alignment horizontal="center" vertical="center"/>
    </xf>
    <xf numFmtId="0" fontId="17" fillId="3" borderId="37" xfId="51" applyFont="1" applyFill="1" applyBorder="1" applyAlignment="1">
      <alignment horizontal="left" vertical="center" wrapText="1"/>
    </xf>
    <xf numFmtId="0" fontId="17" fillId="3" borderId="38" xfId="51" applyFont="1" applyFill="1" applyBorder="1" applyAlignment="1">
      <alignment horizontal="left" vertical="center" wrapText="1"/>
    </xf>
    <xf numFmtId="0" fontId="17" fillId="3" borderId="39" xfId="51" applyFont="1" applyFill="1" applyBorder="1" applyAlignment="1">
      <alignment horizontal="left" vertical="center" wrapText="1"/>
    </xf>
    <xf numFmtId="176" fontId="9" fillId="0" borderId="25" xfId="0" applyNumberFormat="1" applyFont="1" applyBorder="1" applyAlignment="1">
      <alignment horizontal="center" vertical="center" wrapText="1"/>
    </xf>
    <xf numFmtId="0" fontId="16" fillId="3" borderId="19" xfId="51" applyFont="1" applyFill="1" applyBorder="1" applyAlignment="1">
      <alignment horizontal="left" vertical="center" wrapText="1"/>
    </xf>
    <xf numFmtId="0" fontId="16" fillId="3" borderId="40" xfId="51" applyFont="1" applyFill="1" applyBorder="1" applyAlignment="1">
      <alignment horizontal="left" vertical="center" wrapText="1"/>
    </xf>
    <xf numFmtId="0" fontId="16" fillId="3" borderId="41" xfId="51" applyFont="1" applyFill="1" applyBorder="1" applyAlignment="1">
      <alignment horizontal="left" vertical="center" wrapText="1"/>
    </xf>
    <xf numFmtId="0" fontId="16" fillId="3" borderId="28" xfId="51" applyFont="1" applyFill="1" applyBorder="1" applyAlignment="1">
      <alignment horizontal="left" vertical="center" wrapText="1"/>
    </xf>
    <xf numFmtId="0" fontId="17" fillId="3" borderId="29" xfId="51" applyFont="1" applyFill="1" applyBorder="1" applyAlignment="1">
      <alignment horizontal="left" vertical="center" wrapText="1"/>
    </xf>
    <xf numFmtId="0" fontId="17" fillId="3" borderId="30" xfId="51" applyFont="1" applyFill="1" applyBorder="1" applyAlignment="1">
      <alignment horizontal="left" vertical="center" wrapText="1"/>
    </xf>
    <xf numFmtId="0" fontId="17" fillId="3" borderId="28" xfId="51" applyFont="1" applyFill="1" applyBorder="1" applyAlignment="1">
      <alignment horizontal="left" vertical="center" wrapText="1"/>
    </xf>
    <xf numFmtId="182" fontId="17" fillId="3" borderId="26" xfId="50" applyNumberFormat="1" applyFont="1" applyFill="1" applyBorder="1" applyAlignment="1">
      <alignment horizontal="center" vertical="center"/>
    </xf>
    <xf numFmtId="4" fontId="17" fillId="0" borderId="26" xfId="50" applyNumberFormat="1" applyFont="1" applyBorder="1" applyAlignment="1">
      <alignment horizontal="right" vertical="center"/>
    </xf>
    <xf numFmtId="0" fontId="17" fillId="3" borderId="19" xfId="51" applyFont="1" applyFill="1" applyBorder="1" applyAlignment="1">
      <alignment horizontal="left" vertical="center" wrapText="1"/>
    </xf>
    <xf numFmtId="0" fontId="17" fillId="3" borderId="40" xfId="51" applyFont="1" applyFill="1" applyBorder="1" applyAlignment="1">
      <alignment horizontal="left" vertical="center" wrapText="1"/>
    </xf>
    <xf numFmtId="0" fontId="17" fillId="3" borderId="41" xfId="51" applyFont="1" applyFill="1" applyBorder="1" applyAlignment="1">
      <alignment horizontal="left" vertical="center" wrapText="1"/>
    </xf>
    <xf numFmtId="176" fontId="17" fillId="0" borderId="25" xfId="49" applyFont="1" applyFill="1" applyBorder="1" applyAlignment="1">
      <alignment horizontal="left" vertical="center"/>
    </xf>
    <xf numFmtId="0" fontId="15" fillId="3" borderId="29" xfId="51" applyFont="1" applyFill="1" applyBorder="1" applyAlignment="1">
      <alignment horizontal="left" vertical="center" wrapText="1"/>
    </xf>
    <xf numFmtId="0" fontId="15" fillId="3" borderId="30" xfId="51" applyFont="1" applyFill="1" applyBorder="1" applyAlignment="1">
      <alignment horizontal="left" vertical="center" wrapText="1"/>
    </xf>
    <xf numFmtId="0" fontId="15" fillId="3" borderId="28" xfId="51" applyFont="1" applyFill="1" applyBorder="1" applyAlignment="1">
      <alignment horizontal="left" vertical="center" wrapText="1"/>
    </xf>
    <xf numFmtId="176" fontId="0" fillId="0" borderId="0" xfId="0" applyNumberFormat="1"/>
    <xf numFmtId="0" fontId="17" fillId="0" borderId="26" xfId="50" applyFont="1" applyBorder="1" applyAlignment="1">
      <alignment horizontal="center" vertical="center"/>
    </xf>
    <xf numFmtId="0" fontId="17" fillId="3" borderId="29" xfId="51" applyFont="1" applyFill="1" applyBorder="1" applyAlignment="1">
      <alignment vertical="center" wrapText="1"/>
    </xf>
    <xf numFmtId="0" fontId="17" fillId="3" borderId="30" xfId="51" applyFont="1" applyFill="1" applyBorder="1" applyAlignment="1">
      <alignment vertical="center" wrapText="1"/>
    </xf>
    <xf numFmtId="0" fontId="17" fillId="3" borderId="28" xfId="51" applyFont="1" applyFill="1" applyBorder="1" applyAlignment="1">
      <alignment vertical="center" wrapText="1"/>
    </xf>
    <xf numFmtId="2" fontId="17" fillId="0" borderId="26" xfId="1" applyNumberFormat="1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 wrapText="1"/>
    </xf>
    <xf numFmtId="0" fontId="16" fillId="3" borderId="37" xfId="51" applyFont="1" applyFill="1" applyBorder="1" applyAlignment="1">
      <alignment horizontal="left" vertical="center" wrapText="1"/>
    </xf>
    <xf numFmtId="0" fontId="16" fillId="3" borderId="38" xfId="51" applyFont="1" applyFill="1" applyBorder="1" applyAlignment="1">
      <alignment horizontal="left" vertical="center" wrapText="1"/>
    </xf>
    <xf numFmtId="0" fontId="16" fillId="3" borderId="39" xfId="51" applyFont="1" applyFill="1" applyBorder="1" applyAlignment="1">
      <alignment horizontal="left" vertical="center" wrapText="1"/>
    </xf>
    <xf numFmtId="0" fontId="16" fillId="3" borderId="7" xfId="51" applyFont="1" applyFill="1" applyBorder="1" applyAlignment="1">
      <alignment horizontal="left" vertical="center" wrapText="1"/>
    </xf>
    <xf numFmtId="0" fontId="16" fillId="3" borderId="8" xfId="51" applyFont="1" applyFill="1" applyBorder="1" applyAlignment="1">
      <alignment horizontal="left" vertical="center" wrapText="1"/>
    </xf>
    <xf numFmtId="0" fontId="16" fillId="3" borderId="9" xfId="51" applyFont="1" applyFill="1" applyBorder="1" applyAlignment="1">
      <alignment horizontal="left" vertical="center" wrapText="1"/>
    </xf>
    <xf numFmtId="4" fontId="17" fillId="3" borderId="43" xfId="50" applyNumberFormat="1" applyFont="1" applyFill="1" applyBorder="1" applyAlignment="1">
      <alignment horizontal="right" vertical="center"/>
    </xf>
    <xf numFmtId="4" fontId="17" fillId="0" borderId="43" xfId="5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6" fontId="3" fillId="4" borderId="1" xfId="1" applyFont="1" applyFill="1" applyBorder="1" applyAlignment="1">
      <alignment horizontal="center" vertical="center" wrapText="1"/>
    </xf>
    <xf numFmtId="176" fontId="3" fillId="4" borderId="2" xfId="1" applyFont="1" applyFill="1" applyBorder="1" applyAlignment="1">
      <alignment horizontal="center" vertical="center" wrapText="1"/>
    </xf>
    <xf numFmtId="176" fontId="3" fillId="4" borderId="3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17" fillId="0" borderId="13" xfId="5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6" fontId="3" fillId="4" borderId="4" xfId="1" applyFont="1" applyFill="1" applyBorder="1" applyAlignment="1">
      <alignment horizontal="center" vertical="center" wrapText="1"/>
    </xf>
    <xf numFmtId="176" fontId="3" fillId="4" borderId="5" xfId="1" applyFont="1" applyFill="1" applyBorder="1" applyAlignment="1">
      <alignment horizontal="center" vertical="center" wrapText="1"/>
    </xf>
    <xf numFmtId="176" fontId="3" fillId="4" borderId="6" xfId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6" fontId="3" fillId="4" borderId="7" xfId="1" applyFont="1" applyFill="1" applyBorder="1" applyAlignment="1">
      <alignment horizontal="center" vertical="center" wrapText="1"/>
    </xf>
    <xf numFmtId="176" fontId="3" fillId="4" borderId="8" xfId="1" applyFont="1" applyFill="1" applyBorder="1" applyAlignment="1">
      <alignment horizontal="center" vertical="center" wrapText="1"/>
    </xf>
    <xf numFmtId="176" fontId="3" fillId="4" borderId="9" xfId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17" fillId="0" borderId="0" xfId="50" applyNumberFormat="1" applyFont="1" applyAlignment="1">
      <alignment vertical="center"/>
    </xf>
    <xf numFmtId="0" fontId="18" fillId="0" borderId="0" xfId="0" applyFont="1"/>
    <xf numFmtId="9" fontId="0" fillId="0" borderId="0" xfId="3" applyFont="1"/>
    <xf numFmtId="0" fontId="19" fillId="0" borderId="0" xfId="0" applyFont="1" applyAlignment="1">
      <alignment vertical="center"/>
    </xf>
    <xf numFmtId="176" fontId="20" fillId="0" borderId="0" xfId="0" applyNumberFormat="1" applyFont="1"/>
    <xf numFmtId="0" fontId="3" fillId="0" borderId="0" xfId="0" applyFont="1"/>
    <xf numFmtId="176" fontId="0" fillId="0" borderId="0" xfId="1" applyFont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385763</xdr:colOff>
      <xdr:row>0</xdr:row>
      <xdr:rowOff>83344</xdr:rowOff>
    </xdr:from>
    <xdr:to>
      <xdr:col>1</xdr:col>
      <xdr:colOff>809625</xdr:colOff>
      <xdr:row>0</xdr:row>
      <xdr:rowOff>631032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tretch>
          <a:fillRect/>
        </a:stretch>
      </xdr:blipFill>
      <xdr:spPr>
        <a:xfrm>
          <a:off x="385445" y="83185"/>
          <a:ext cx="1014730" cy="5473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385763</xdr:colOff>
      <xdr:row>0</xdr:row>
      <xdr:rowOff>83344</xdr:rowOff>
    </xdr:from>
    <xdr:to>
      <xdr:col>1</xdr:col>
      <xdr:colOff>809625</xdr:colOff>
      <xdr:row>0</xdr:row>
      <xdr:rowOff>631032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tretch>
          <a:fillRect/>
        </a:stretch>
      </xdr:blipFill>
      <xdr:spPr>
        <a:xfrm>
          <a:off x="385445" y="83185"/>
          <a:ext cx="1014730" cy="5473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2"/>
  <sheetViews>
    <sheetView tabSelected="1" zoomScale="85" zoomScaleNormal="85" topLeftCell="A29" workbookViewId="0">
      <selection activeCell="K55" sqref="K55"/>
    </sheetView>
  </sheetViews>
  <sheetFormatPr defaultColWidth="8.85714285714286" defaultRowHeight="15"/>
  <cols>
    <col min="2" max="2" width="16.4285714285714" customWidth="1"/>
    <col min="3" max="3" width="16.8571428571429" customWidth="1"/>
    <col min="4" max="4" width="17.2857142857143" customWidth="1"/>
    <col min="5" max="5" width="12" customWidth="1"/>
    <col min="6" max="6" width="8.71428571428571" customWidth="1"/>
    <col min="7" max="7" width="14" customWidth="1"/>
    <col min="8" max="8" width="9.42857142857143" customWidth="1"/>
    <col min="9" max="9" width="12.1428571428571" customWidth="1"/>
    <col min="10" max="10" width="12.4285714285714" customWidth="1"/>
    <col min="11" max="11" width="13" customWidth="1"/>
    <col min="12" max="12" width="11.8571428571429" customWidth="1"/>
    <col min="13" max="13" width="21" customWidth="1"/>
    <col min="14" max="14" width="10.2857142857143" customWidth="1"/>
    <col min="15" max="15" width="9.28571428571429" customWidth="1"/>
    <col min="16" max="16" width="10.2857142857143" customWidth="1"/>
    <col min="17" max="17" width="8.28571428571429" customWidth="1"/>
    <col min="18" max="18" width="6.14285714285714" customWidth="1"/>
    <col min="19" max="19" width="16" style="1" customWidth="1"/>
  </cols>
  <sheetData>
    <row r="1" customFormat="1" ht="52.5" customHeight="1" spans="1:1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</row>
    <row r="2" customFormat="1" ht="27" customHeight="1" spans="1:19">
      <c r="A2" s="5"/>
      <c r="B2" s="6"/>
      <c r="C2" s="6"/>
      <c r="D2" s="6"/>
      <c r="E2" s="7" t="s">
        <v>1</v>
      </c>
      <c r="F2" s="7"/>
      <c r="G2" s="7"/>
      <c r="H2" s="7"/>
      <c r="I2" s="7"/>
      <c r="J2" s="7"/>
      <c r="K2" s="7"/>
      <c r="L2" s="7"/>
      <c r="M2" s="7"/>
      <c r="N2" s="6"/>
      <c r="O2" s="6"/>
      <c r="P2" s="6"/>
      <c r="Q2" s="6"/>
      <c r="R2" s="8"/>
      <c r="S2" s="1"/>
    </row>
    <row r="3" customFormat="1" ht="15.75" spans="1:19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"/>
    </row>
    <row r="4" customFormat="1" ht="21" customHeight="1" spans="1:19">
      <c r="A4" s="12" t="s">
        <v>3</v>
      </c>
      <c r="B4" s="13"/>
      <c r="C4" s="14"/>
      <c r="D4" s="15"/>
      <c r="E4" s="16"/>
      <c r="F4" s="17"/>
      <c r="G4" s="18"/>
      <c r="H4" s="15"/>
      <c r="I4" s="15"/>
      <c r="J4" s="15"/>
      <c r="K4" s="15"/>
      <c r="L4" s="19"/>
      <c r="M4" s="16" t="s">
        <v>4</v>
      </c>
      <c r="N4" s="16"/>
      <c r="O4" s="14"/>
      <c r="P4" s="15"/>
      <c r="Q4" s="15"/>
      <c r="R4" s="19"/>
      <c r="S4" s="1"/>
    </row>
    <row r="5" customFormat="1" ht="20.45" customHeight="1" spans="1:19">
      <c r="A5" s="12" t="s">
        <v>5</v>
      </c>
      <c r="B5" s="20"/>
      <c r="C5" s="21"/>
      <c r="D5" s="22"/>
      <c r="E5" s="23" t="s">
        <v>6</v>
      </c>
      <c r="F5" s="17"/>
      <c r="G5" s="14"/>
      <c r="H5" s="15"/>
      <c r="I5" s="15"/>
      <c r="J5" s="15"/>
      <c r="K5" s="15"/>
      <c r="L5" s="19"/>
      <c r="M5" s="16" t="s">
        <v>7</v>
      </c>
      <c r="N5" s="16"/>
      <c r="O5" s="24"/>
      <c r="P5" s="25"/>
      <c r="Q5" s="25"/>
      <c r="R5" s="26"/>
      <c r="S5" s="1"/>
    </row>
    <row r="6" customFormat="1" ht="19.35" customHeight="1" spans="1:19">
      <c r="A6" s="27" t="s">
        <v>8</v>
      </c>
      <c r="B6" s="28"/>
      <c r="C6" s="29"/>
      <c r="D6" s="30"/>
      <c r="E6" s="23" t="s">
        <v>9</v>
      </c>
      <c r="F6" s="17"/>
      <c r="G6" s="31"/>
      <c r="H6" s="32"/>
      <c r="I6" s="32"/>
      <c r="J6" s="32"/>
      <c r="K6" s="32"/>
      <c r="L6" s="33"/>
      <c r="M6" s="16" t="s">
        <v>10</v>
      </c>
      <c r="N6" s="16"/>
      <c r="O6" s="34"/>
      <c r="P6" s="35"/>
      <c r="Q6" s="35"/>
      <c r="R6" s="36"/>
      <c r="S6" s="1"/>
    </row>
    <row r="7" customFormat="1" ht="24" customHeight="1" spans="1:19">
      <c r="A7" s="12" t="s">
        <v>11</v>
      </c>
      <c r="B7" s="20"/>
      <c r="C7" s="14"/>
      <c r="D7" s="37"/>
      <c r="E7" s="14" t="s">
        <v>12</v>
      </c>
      <c r="F7" s="19"/>
      <c r="G7" s="38" t="s">
        <v>13</v>
      </c>
      <c r="H7" s="39"/>
      <c r="I7" s="39"/>
      <c r="J7" s="40"/>
      <c r="K7" s="40"/>
      <c r="L7" s="39"/>
      <c r="M7" s="38"/>
      <c r="N7" s="37"/>
      <c r="O7" s="41"/>
      <c r="P7" s="40"/>
      <c r="Q7" s="15"/>
      <c r="R7" s="19"/>
      <c r="S7" s="1"/>
    </row>
    <row r="8" customFormat="1" customHeight="1" spans="1:19">
      <c r="A8" s="42"/>
      <c r="B8" s="43"/>
      <c r="C8" s="43"/>
      <c r="D8" s="43"/>
      <c r="E8" s="44"/>
      <c r="F8" s="45"/>
      <c r="G8" s="42"/>
      <c r="H8" s="43"/>
      <c r="I8" s="43"/>
      <c r="J8" s="43"/>
      <c r="K8" s="43"/>
      <c r="L8" s="46"/>
      <c r="M8" s="47"/>
      <c r="N8" s="47"/>
      <c r="O8" s="48"/>
      <c r="P8" s="49"/>
      <c r="Q8" s="49"/>
      <c r="R8" s="50"/>
      <c r="S8" s="1"/>
    </row>
    <row r="9" customFormat="1" ht="21" customHeight="1" spans="1:19">
      <c r="A9" s="27" t="s">
        <v>14</v>
      </c>
      <c r="B9" s="28"/>
      <c r="C9" s="14"/>
      <c r="D9" s="19"/>
      <c r="E9" s="12"/>
      <c r="F9" s="13"/>
      <c r="G9" s="14"/>
      <c r="H9" s="15"/>
      <c r="I9" s="15"/>
      <c r="J9" s="15"/>
      <c r="K9" s="15"/>
      <c r="L9" s="19"/>
      <c r="M9" s="28"/>
      <c r="N9" s="28"/>
      <c r="O9" s="51"/>
      <c r="P9" s="52"/>
      <c r="Q9" s="52"/>
      <c r="R9" s="53"/>
      <c r="S9" s="1"/>
    </row>
    <row r="10" customFormat="1" ht="24" customHeight="1" spans="1:19">
      <c r="A10" s="12" t="s">
        <v>15</v>
      </c>
      <c r="B10" s="20"/>
      <c r="C10" s="14"/>
      <c r="D10" s="19"/>
      <c r="E10" s="12"/>
      <c r="F10" s="13"/>
      <c r="G10" s="14"/>
      <c r="H10" s="15"/>
      <c r="I10" s="15"/>
      <c r="J10" s="15"/>
      <c r="K10" s="15"/>
      <c r="L10" s="19"/>
      <c r="M10" s="20"/>
      <c r="N10" s="20"/>
      <c r="O10" s="51"/>
      <c r="P10" s="52"/>
      <c r="Q10" s="52"/>
      <c r="R10" s="53"/>
      <c r="S10" s="1"/>
    </row>
    <row r="11" customFormat="1" ht="23.1" customHeight="1" spans="1:19">
      <c r="A11" s="12" t="s">
        <v>16</v>
      </c>
      <c r="B11" s="20"/>
      <c r="C11" s="14"/>
      <c r="D11" s="19"/>
      <c r="E11" s="12" t="s">
        <v>17</v>
      </c>
      <c r="F11" s="13"/>
      <c r="G11" s="14"/>
      <c r="H11" s="15"/>
      <c r="I11" s="15"/>
      <c r="J11" s="15"/>
      <c r="K11" s="15"/>
      <c r="L11" s="19"/>
      <c r="M11" s="20"/>
      <c r="N11" s="20"/>
      <c r="O11" s="54"/>
      <c r="P11" s="55"/>
      <c r="Q11" s="55"/>
      <c r="R11" s="56"/>
      <c r="S11" s="1"/>
    </row>
    <row r="12" customFormat="1" ht="22.35" customHeight="1" spans="1:19">
      <c r="A12" s="12" t="s">
        <v>18</v>
      </c>
      <c r="B12" s="20"/>
      <c r="C12" s="57"/>
      <c r="D12" s="58"/>
      <c r="E12" s="12"/>
      <c r="F12" s="13"/>
      <c r="G12" s="14"/>
      <c r="H12" s="15"/>
      <c r="I12" s="15"/>
      <c r="J12" s="15"/>
      <c r="K12" s="15"/>
      <c r="L12" s="19"/>
      <c r="M12" s="20"/>
      <c r="N12" s="20"/>
      <c r="O12" s="59"/>
      <c r="P12" s="60"/>
      <c r="Q12" s="60"/>
      <c r="R12" s="61"/>
      <c r="S12" s="1"/>
    </row>
    <row r="13" customFormat="1" ht="33" customHeight="1" spans="1:19">
      <c r="A13" s="62"/>
      <c r="B13" s="63"/>
      <c r="C13" s="63"/>
      <c r="D13" s="63"/>
      <c r="E13" s="63"/>
      <c r="F13" s="64"/>
      <c r="G13" s="62" t="s">
        <v>19</v>
      </c>
      <c r="H13" s="63"/>
      <c r="I13" s="63"/>
      <c r="J13" s="63"/>
      <c r="K13" s="63"/>
      <c r="L13" s="64"/>
      <c r="M13" s="62" t="s">
        <v>20</v>
      </c>
      <c r="N13" s="63"/>
      <c r="O13" s="63"/>
      <c r="P13" s="63"/>
      <c r="Q13" s="63"/>
      <c r="R13" s="64"/>
      <c r="S13" s="1"/>
    </row>
    <row r="14" customFormat="1" ht="24" customHeight="1" spans="1:19">
      <c r="A14" s="65" t="s">
        <v>21</v>
      </c>
      <c r="B14" s="66" t="s">
        <v>22</v>
      </c>
      <c r="C14" s="67"/>
      <c r="D14" s="67"/>
      <c r="E14" s="67"/>
      <c r="F14" s="68"/>
      <c r="G14" s="69" t="s">
        <v>23</v>
      </c>
      <c r="H14" s="69" t="s">
        <v>24</v>
      </c>
      <c r="I14" s="69" t="s">
        <v>25</v>
      </c>
      <c r="J14" s="69" t="s">
        <v>26</v>
      </c>
      <c r="K14" s="69" t="s">
        <v>27</v>
      </c>
      <c r="L14" s="68" t="s">
        <v>28</v>
      </c>
      <c r="M14" s="69" t="s">
        <v>23</v>
      </c>
      <c r="N14" s="69" t="s">
        <v>24</v>
      </c>
      <c r="O14" s="69" t="s">
        <v>26</v>
      </c>
      <c r="P14" s="69" t="s">
        <v>27</v>
      </c>
      <c r="Q14" s="66" t="s">
        <v>29</v>
      </c>
      <c r="R14" s="68"/>
      <c r="S14" s="1"/>
    </row>
    <row r="15" customFormat="1" customHeight="1" spans="1:19">
      <c r="A15" s="70"/>
      <c r="B15" s="71" t="s">
        <v>30</v>
      </c>
      <c r="C15" s="72"/>
      <c r="D15" s="72"/>
      <c r="E15" s="72"/>
      <c r="F15" s="72"/>
      <c r="G15" s="73"/>
      <c r="H15" s="74"/>
      <c r="I15" s="74"/>
      <c r="J15" s="75"/>
      <c r="K15" s="76"/>
      <c r="L15" s="77"/>
      <c r="M15" s="78"/>
      <c r="N15" s="79"/>
      <c r="O15" s="79"/>
      <c r="P15" s="79"/>
      <c r="Q15" s="80"/>
      <c r="R15" s="81"/>
      <c r="S15" s="1"/>
    </row>
    <row r="16" spans="1:19">
      <c r="A16" s="70">
        <v>1</v>
      </c>
      <c r="B16" s="82" t="s">
        <v>31</v>
      </c>
      <c r="C16" s="83"/>
      <c r="D16" s="83"/>
      <c r="E16" s="83"/>
      <c r="F16" s="83"/>
      <c r="G16" s="84">
        <v>0</v>
      </c>
      <c r="H16" s="85" t="s">
        <v>32</v>
      </c>
      <c r="I16" s="85"/>
      <c r="J16" s="86"/>
      <c r="K16" s="87">
        <f t="shared" ref="K16:K25" si="0">G16*J16</f>
        <v>0</v>
      </c>
      <c r="L16" s="88"/>
      <c r="M16" s="78"/>
      <c r="N16" s="79"/>
      <c r="O16" s="79"/>
      <c r="P16" s="79"/>
      <c r="Q16" s="80"/>
      <c r="R16" s="81"/>
      <c r="S16"/>
    </row>
    <row r="17" spans="1:19">
      <c r="A17" s="70">
        <v>1.1</v>
      </c>
      <c r="B17" s="82" t="s">
        <v>33</v>
      </c>
      <c r="C17" s="83"/>
      <c r="D17" s="83"/>
      <c r="E17" s="83"/>
      <c r="F17" s="83"/>
      <c r="G17" s="84">
        <v>0</v>
      </c>
      <c r="H17" s="85" t="s">
        <v>32</v>
      </c>
      <c r="I17" s="85"/>
      <c r="J17" s="86"/>
      <c r="K17" s="87">
        <f t="shared" si="0"/>
        <v>0</v>
      </c>
      <c r="L17" s="88"/>
      <c r="M17" s="78"/>
      <c r="N17" s="79"/>
      <c r="O17" s="79"/>
      <c r="P17" s="79"/>
      <c r="Q17" s="80"/>
      <c r="R17" s="81"/>
      <c r="S17"/>
    </row>
    <row r="18" spans="1:19">
      <c r="A18" s="70">
        <v>2</v>
      </c>
      <c r="B18" s="82" t="s">
        <v>34</v>
      </c>
      <c r="C18" s="83"/>
      <c r="D18" s="83"/>
      <c r="E18" s="83"/>
      <c r="F18" s="83"/>
      <c r="G18" s="84">
        <v>0</v>
      </c>
      <c r="H18" s="85" t="s">
        <v>32</v>
      </c>
      <c r="I18" s="85"/>
      <c r="J18" s="86"/>
      <c r="K18" s="87">
        <f t="shared" si="0"/>
        <v>0</v>
      </c>
      <c r="L18" s="88"/>
      <c r="M18" s="78"/>
      <c r="N18" s="79"/>
      <c r="O18" s="79"/>
      <c r="P18" s="79"/>
      <c r="Q18" s="80"/>
      <c r="R18" s="81"/>
      <c r="S18"/>
    </row>
    <row r="19" spans="1:19">
      <c r="A19" s="70">
        <v>2.1</v>
      </c>
      <c r="B19" s="82" t="s">
        <v>35</v>
      </c>
      <c r="C19" s="83"/>
      <c r="D19" s="83"/>
      <c r="E19" s="83"/>
      <c r="F19" s="83"/>
      <c r="G19" s="84">
        <v>0</v>
      </c>
      <c r="H19" s="85" t="s">
        <v>32</v>
      </c>
      <c r="I19" s="85"/>
      <c r="J19" s="86"/>
      <c r="K19" s="87">
        <f t="shared" si="0"/>
        <v>0</v>
      </c>
      <c r="L19" s="88"/>
      <c r="M19" s="78"/>
      <c r="N19" s="79"/>
      <c r="O19" s="79"/>
      <c r="P19" s="79"/>
      <c r="Q19" s="80"/>
      <c r="R19" s="81"/>
      <c r="S19"/>
    </row>
    <row r="20" spans="1:19">
      <c r="A20" s="70">
        <v>3</v>
      </c>
      <c r="B20" s="82" t="s">
        <v>36</v>
      </c>
      <c r="C20" s="83"/>
      <c r="D20" s="83"/>
      <c r="E20" s="83"/>
      <c r="F20" s="83"/>
      <c r="G20" s="84">
        <v>0</v>
      </c>
      <c r="H20" s="85" t="s">
        <v>32</v>
      </c>
      <c r="I20" s="85"/>
      <c r="J20" s="86"/>
      <c r="K20" s="87">
        <f t="shared" si="0"/>
        <v>0</v>
      </c>
      <c r="L20" s="88"/>
      <c r="M20" s="78"/>
      <c r="N20" s="79"/>
      <c r="O20" s="79"/>
      <c r="P20" s="79"/>
      <c r="Q20" s="80"/>
      <c r="R20" s="81"/>
      <c r="S20"/>
    </row>
    <row r="21" customHeight="1" spans="1:19">
      <c r="A21" s="70">
        <v>4</v>
      </c>
      <c r="B21" s="82" t="s">
        <v>37</v>
      </c>
      <c r="C21" s="83"/>
      <c r="D21" s="83"/>
      <c r="E21" s="83"/>
      <c r="F21" s="83"/>
      <c r="G21" s="84">
        <v>0</v>
      </c>
      <c r="H21" s="85" t="s">
        <v>32</v>
      </c>
      <c r="I21" s="85"/>
      <c r="J21" s="86"/>
      <c r="K21" s="87">
        <f t="shared" si="0"/>
        <v>0</v>
      </c>
      <c r="L21" s="88"/>
      <c r="M21" s="78"/>
      <c r="N21" s="79"/>
      <c r="O21" s="79"/>
      <c r="P21" s="79"/>
      <c r="Q21" s="80"/>
      <c r="R21" s="81"/>
      <c r="S21"/>
    </row>
    <row r="22" customFormat="1" customHeight="1" spans="1:19">
      <c r="A22" s="70">
        <v>5</v>
      </c>
      <c r="B22" s="89" t="s">
        <v>38</v>
      </c>
      <c r="C22" s="90" t="s">
        <v>39</v>
      </c>
      <c r="D22" s="90" t="s">
        <v>39</v>
      </c>
      <c r="E22" s="90" t="s">
        <v>39</v>
      </c>
      <c r="F22" s="91"/>
      <c r="G22" s="92"/>
      <c r="H22" s="85"/>
      <c r="I22" s="85"/>
      <c r="J22" s="86"/>
      <c r="K22" s="87">
        <f t="shared" si="0"/>
        <v>0</v>
      </c>
      <c r="L22" s="88"/>
      <c r="M22" s="78"/>
      <c r="N22" s="79"/>
      <c r="O22" s="79"/>
      <c r="P22" s="79"/>
      <c r="Q22" s="80"/>
      <c r="R22" s="81"/>
      <c r="S22" s="1"/>
    </row>
    <row r="23" customFormat="1" customHeight="1" spans="1:19">
      <c r="A23" s="93">
        <v>5.1</v>
      </c>
      <c r="B23" s="94" t="s">
        <v>40</v>
      </c>
      <c r="C23" s="95"/>
      <c r="D23" s="95"/>
      <c r="E23" s="95"/>
      <c r="F23" s="96"/>
      <c r="G23" s="92"/>
      <c r="H23" s="85" t="s">
        <v>41</v>
      </c>
      <c r="I23" s="85"/>
      <c r="J23" s="86">
        <v>3.5</v>
      </c>
      <c r="K23" s="87">
        <f t="shared" si="0"/>
        <v>0</v>
      </c>
      <c r="L23" s="88"/>
      <c r="M23" s="78"/>
      <c r="N23" s="79"/>
      <c r="O23" s="79"/>
      <c r="P23" s="79"/>
      <c r="Q23" s="80"/>
      <c r="R23" s="81"/>
      <c r="S23" s="1"/>
    </row>
    <row r="24" customFormat="1" customHeight="1" spans="1:19">
      <c r="A24" s="97">
        <v>5.2</v>
      </c>
      <c r="B24" s="98" t="s">
        <v>42</v>
      </c>
      <c r="C24" s="99"/>
      <c r="D24" s="99"/>
      <c r="E24" s="99"/>
      <c r="F24" s="100"/>
      <c r="G24" s="92"/>
      <c r="H24" s="85" t="s">
        <v>41</v>
      </c>
      <c r="I24" s="85"/>
      <c r="J24" s="86">
        <v>4.5</v>
      </c>
      <c r="K24" s="87">
        <f t="shared" si="0"/>
        <v>0</v>
      </c>
      <c r="L24" s="88"/>
      <c r="M24" s="78"/>
      <c r="N24" s="79"/>
      <c r="O24" s="79"/>
      <c r="P24" s="79"/>
      <c r="Q24" s="80"/>
      <c r="R24" s="81"/>
      <c r="S24" s="1"/>
    </row>
    <row r="25" customFormat="1" customHeight="1" spans="1:19">
      <c r="A25" s="97">
        <v>5.3</v>
      </c>
      <c r="B25" s="98" t="s">
        <v>43</v>
      </c>
      <c r="C25" s="99"/>
      <c r="D25" s="99"/>
      <c r="E25" s="99"/>
      <c r="F25" s="100"/>
      <c r="G25" s="92"/>
      <c r="H25" s="85" t="s">
        <v>41</v>
      </c>
      <c r="I25" s="85"/>
      <c r="J25" s="86">
        <v>7.5</v>
      </c>
      <c r="K25" s="87">
        <f t="shared" si="0"/>
        <v>0</v>
      </c>
      <c r="L25" s="88"/>
      <c r="M25" s="78"/>
      <c r="N25" s="79"/>
      <c r="O25" s="79"/>
      <c r="P25" s="79"/>
      <c r="Q25" s="80"/>
      <c r="R25" s="81"/>
      <c r="S25" s="1"/>
    </row>
    <row r="26" customFormat="1" customHeight="1" spans="1:19">
      <c r="A26" s="101">
        <v>5.4</v>
      </c>
      <c r="B26" s="102" t="s">
        <v>44</v>
      </c>
      <c r="C26" s="103"/>
      <c r="D26" s="103"/>
      <c r="E26" s="103"/>
      <c r="F26" s="104"/>
      <c r="G26" s="92"/>
      <c r="H26" s="85" t="s">
        <v>45</v>
      </c>
      <c r="I26" s="85"/>
      <c r="J26" s="86">
        <v>52</v>
      </c>
      <c r="K26" s="87"/>
      <c r="L26" s="88"/>
      <c r="M26" s="105"/>
      <c r="N26" s="79"/>
      <c r="O26" s="79"/>
      <c r="P26" s="79"/>
      <c r="Q26" s="80"/>
      <c r="R26" s="81"/>
      <c r="S26" s="1"/>
    </row>
    <row r="27" customHeight="1" spans="1:19">
      <c r="A27" s="70">
        <v>6</v>
      </c>
      <c r="B27" s="89" t="s">
        <v>46</v>
      </c>
      <c r="C27" s="90"/>
      <c r="D27" s="90"/>
      <c r="E27" s="90"/>
      <c r="F27" s="91"/>
      <c r="G27" s="92">
        <v>0</v>
      </c>
      <c r="H27" s="85" t="s">
        <v>32</v>
      </c>
      <c r="I27" s="85"/>
      <c r="J27" s="86"/>
      <c r="K27" s="87">
        <f t="shared" ref="K27:K29" si="1">G27*J27</f>
        <v>0</v>
      </c>
      <c r="L27" s="88"/>
      <c r="M27" s="78"/>
      <c r="N27" s="79"/>
      <c r="O27" s="79"/>
      <c r="P27" s="79"/>
      <c r="Q27" s="80"/>
      <c r="R27" s="81"/>
      <c r="S27"/>
    </row>
    <row r="28" customHeight="1" spans="1:19">
      <c r="A28" s="70"/>
      <c r="B28" s="106"/>
      <c r="C28" s="107"/>
      <c r="D28" s="107"/>
      <c r="E28" s="107"/>
      <c r="F28" s="108"/>
      <c r="G28" s="92"/>
      <c r="H28" s="85"/>
      <c r="I28" s="85"/>
      <c r="J28" s="86"/>
      <c r="K28" s="87">
        <f t="shared" si="1"/>
        <v>0</v>
      </c>
      <c r="L28" s="88"/>
      <c r="M28" s="78"/>
      <c r="N28" s="79"/>
      <c r="O28" s="79"/>
      <c r="P28" s="79"/>
      <c r="Q28" s="80"/>
      <c r="R28" s="81"/>
      <c r="S28"/>
    </row>
    <row r="29" customFormat="1" spans="1:19">
      <c r="A29" s="70">
        <v>7</v>
      </c>
      <c r="B29" s="82" t="s">
        <v>47</v>
      </c>
      <c r="C29" s="83"/>
      <c r="D29" s="83"/>
      <c r="E29" s="83"/>
      <c r="F29" s="109"/>
      <c r="G29" s="92"/>
      <c r="H29" s="85"/>
      <c r="I29" s="85"/>
      <c r="J29" s="86"/>
      <c r="K29" s="87">
        <f t="shared" si="1"/>
        <v>0</v>
      </c>
      <c r="L29" s="88"/>
      <c r="M29" s="78"/>
      <c r="N29" s="79"/>
      <c r="O29" s="79"/>
      <c r="P29" s="79"/>
      <c r="Q29" s="80"/>
      <c r="R29" s="81"/>
      <c r="S29" s="1"/>
    </row>
    <row r="30" customHeight="1" spans="1:19">
      <c r="A30" s="97">
        <v>7.1</v>
      </c>
      <c r="B30" s="110" t="s">
        <v>48</v>
      </c>
      <c r="C30" s="111" t="s">
        <v>39</v>
      </c>
      <c r="D30" s="111" t="s">
        <v>39</v>
      </c>
      <c r="E30" s="111" t="s">
        <v>39</v>
      </c>
      <c r="F30" s="112"/>
      <c r="G30" s="92">
        <f>G23+G24</f>
        <v>0</v>
      </c>
      <c r="H30" s="85" t="s">
        <v>41</v>
      </c>
      <c r="I30" s="113">
        <f>INT((G30/1000)*40)</f>
        <v>0</v>
      </c>
      <c r="J30" s="114">
        <v>10.5</v>
      </c>
      <c r="K30" s="87">
        <f t="shared" ref="K30:K33" si="2">I30*J30</f>
        <v>0</v>
      </c>
      <c r="L30" s="88"/>
      <c r="M30" s="78" t="s">
        <v>49</v>
      </c>
      <c r="N30" s="79">
        <f>G30/1000*120</f>
        <v>0</v>
      </c>
      <c r="O30" s="79"/>
      <c r="P30" s="79"/>
      <c r="Q30" s="80"/>
      <c r="R30" s="81"/>
      <c r="S30" s="1">
        <f>230000/30/30*(I30/8)</f>
        <v>0</v>
      </c>
    </row>
    <row r="31" customHeight="1" spans="1:19">
      <c r="A31" s="97">
        <v>7.2</v>
      </c>
      <c r="B31" s="110" t="s">
        <v>50</v>
      </c>
      <c r="C31" s="111" t="s">
        <v>39</v>
      </c>
      <c r="D31" s="111" t="s">
        <v>39</v>
      </c>
      <c r="E31" s="111" t="s">
        <v>39</v>
      </c>
      <c r="F31" s="112"/>
      <c r="G31" s="92">
        <f>G23+G24</f>
        <v>0</v>
      </c>
      <c r="H31" s="85" t="s">
        <v>41</v>
      </c>
      <c r="I31" s="113">
        <f>INT((G31/1000)*80)</f>
        <v>0</v>
      </c>
      <c r="J31" s="114">
        <v>9.5</v>
      </c>
      <c r="K31" s="87">
        <f t="shared" si="2"/>
        <v>0</v>
      </c>
      <c r="L31" s="88"/>
      <c r="M31" s="78" t="s">
        <v>51</v>
      </c>
      <c r="N31" s="79"/>
      <c r="O31" s="79"/>
      <c r="P31" s="79"/>
      <c r="Q31" s="80"/>
      <c r="R31" s="81"/>
      <c r="S31" s="1">
        <f>230000/30/30*(I31/8)</f>
        <v>0</v>
      </c>
    </row>
    <row r="32" customHeight="1" spans="1:19">
      <c r="A32" s="97">
        <v>7.3</v>
      </c>
      <c r="B32" s="115" t="s">
        <v>52</v>
      </c>
      <c r="C32" s="116"/>
      <c r="D32" s="116"/>
      <c r="E32" s="116"/>
      <c r="F32" s="117"/>
      <c r="G32" s="118"/>
      <c r="H32" s="85" t="s">
        <v>53</v>
      </c>
      <c r="I32" s="113"/>
      <c r="J32" s="114">
        <v>11</v>
      </c>
      <c r="K32" s="87">
        <f t="shared" si="2"/>
        <v>0</v>
      </c>
      <c r="L32" s="88"/>
      <c r="M32" s="78"/>
      <c r="N32" s="79"/>
      <c r="O32" s="79"/>
      <c r="P32" s="79"/>
      <c r="Q32" s="80"/>
      <c r="R32" s="81"/>
      <c r="S32" s="1">
        <f>230000/30/30*(I33/8)</f>
        <v>0</v>
      </c>
    </row>
    <row r="33" customFormat="1" customHeight="1" spans="1:20">
      <c r="A33" s="97">
        <v>7.4</v>
      </c>
      <c r="B33" s="110" t="s">
        <v>54</v>
      </c>
      <c r="C33" s="111"/>
      <c r="D33" s="111"/>
      <c r="E33" s="111"/>
      <c r="F33" s="112"/>
      <c r="G33" s="92"/>
      <c r="H33" s="85" t="s">
        <v>41</v>
      </c>
      <c r="I33" s="85"/>
      <c r="J33" s="114">
        <v>9.5</v>
      </c>
      <c r="K33" s="87">
        <f t="shared" si="2"/>
        <v>0</v>
      </c>
      <c r="L33" s="88"/>
      <c r="M33" s="78"/>
      <c r="N33" s="79"/>
      <c r="O33" s="79"/>
      <c r="P33" s="79"/>
      <c r="Q33" s="80"/>
      <c r="R33" s="81"/>
      <c r="S33" s="1"/>
    </row>
    <row r="34" customFormat="1" spans="1:20">
      <c r="A34" s="70">
        <v>8</v>
      </c>
      <c r="B34" s="119" t="s">
        <v>55</v>
      </c>
      <c r="C34" s="120"/>
      <c r="D34" s="120"/>
      <c r="E34" s="120"/>
      <c r="F34" s="121"/>
      <c r="G34" s="92">
        <v>1</v>
      </c>
      <c r="H34" s="85" t="s">
        <v>32</v>
      </c>
      <c r="I34" s="85"/>
      <c r="J34" s="86">
        <f>SUM(K23:K26)*5%</f>
        <v>0</v>
      </c>
      <c r="K34" s="87">
        <f t="shared" ref="K34:K55" si="3">G34*J34</f>
        <v>0</v>
      </c>
      <c r="L34" s="88"/>
      <c r="M34" s="78"/>
      <c r="N34" s="79"/>
      <c r="O34" s="79"/>
      <c r="P34" s="79"/>
      <c r="Q34" s="80"/>
      <c r="R34" s="81"/>
      <c r="S34" s="1"/>
    </row>
    <row r="35" customFormat="1" spans="1:20">
      <c r="A35" s="70">
        <v>9</v>
      </c>
      <c r="B35" s="82" t="s">
        <v>56</v>
      </c>
      <c r="C35" s="83"/>
      <c r="D35" s="83"/>
      <c r="E35" s="83"/>
      <c r="F35" s="109"/>
      <c r="G35" s="92"/>
      <c r="H35" s="85"/>
      <c r="I35" s="85"/>
      <c r="J35" s="86"/>
      <c r="K35" s="87">
        <f t="shared" si="3"/>
        <v>0</v>
      </c>
      <c r="L35" s="88"/>
      <c r="M35" s="78"/>
      <c r="N35" s="79"/>
      <c r="O35" s="79"/>
      <c r="P35" s="79"/>
      <c r="Q35" s="80"/>
      <c r="R35" s="81"/>
      <c r="S35" s="1"/>
    </row>
    <row r="36" customFormat="1" spans="1:20">
      <c r="A36" s="97">
        <v>9.1</v>
      </c>
      <c r="B36" s="110" t="s">
        <v>57</v>
      </c>
      <c r="C36" s="111"/>
      <c r="D36" s="111"/>
      <c r="E36" s="111"/>
      <c r="F36" s="112"/>
      <c r="G36" s="92">
        <v>0</v>
      </c>
      <c r="H36" s="85" t="s">
        <v>58</v>
      </c>
      <c r="I36" s="85"/>
      <c r="J36" s="86">
        <v>65</v>
      </c>
      <c r="K36" s="87">
        <f t="shared" si="3"/>
        <v>0</v>
      </c>
      <c r="L36" s="88"/>
      <c r="M36" s="78"/>
      <c r="N36" s="79"/>
      <c r="O36" s="79"/>
      <c r="P36" s="79"/>
      <c r="Q36" s="80"/>
      <c r="R36" s="81"/>
      <c r="S36" s="1"/>
      <c r="T36" s="122"/>
    </row>
    <row r="37" customFormat="1" spans="1:20">
      <c r="A37" s="70">
        <v>10</v>
      </c>
      <c r="B37" s="82" t="s">
        <v>59</v>
      </c>
      <c r="C37" s="83"/>
      <c r="D37" s="83"/>
      <c r="E37" s="83"/>
      <c r="F37" s="109"/>
      <c r="G37" s="118"/>
      <c r="H37" s="123"/>
      <c r="I37" s="123"/>
      <c r="J37" s="114"/>
      <c r="K37" s="87">
        <f t="shared" si="3"/>
        <v>0</v>
      </c>
      <c r="L37" s="88"/>
      <c r="M37" s="78"/>
      <c r="N37" s="79"/>
      <c r="O37" s="79"/>
      <c r="P37" s="79"/>
      <c r="Q37" s="80"/>
      <c r="R37" s="81"/>
      <c r="S37" s="1"/>
      <c r="T37" s="122"/>
    </row>
    <row r="38" customFormat="1" customHeight="1" spans="1:20">
      <c r="A38" s="97">
        <v>10.1</v>
      </c>
      <c r="B38" s="110" t="s">
        <v>60</v>
      </c>
      <c r="C38" s="111"/>
      <c r="D38" s="111"/>
      <c r="E38" s="111"/>
      <c r="F38" s="112"/>
      <c r="G38" s="118"/>
      <c r="H38" s="123" t="s">
        <v>61</v>
      </c>
      <c r="I38" s="85"/>
      <c r="J38" s="114">
        <v>600</v>
      </c>
      <c r="K38" s="87">
        <f t="shared" si="3"/>
        <v>0</v>
      </c>
      <c r="L38" s="88"/>
      <c r="M38" s="78"/>
      <c r="N38" s="79"/>
      <c r="O38" s="79"/>
      <c r="P38" s="79"/>
      <c r="Q38" s="80"/>
      <c r="R38" s="81"/>
      <c r="S38" s="1"/>
    </row>
    <row r="39" customFormat="1" customHeight="1" spans="1:20">
      <c r="A39" s="70">
        <v>11</v>
      </c>
      <c r="B39" s="82" t="s">
        <v>62</v>
      </c>
      <c r="C39" s="83"/>
      <c r="D39" s="83"/>
      <c r="E39" s="83"/>
      <c r="F39" s="109"/>
      <c r="G39" s="92"/>
      <c r="H39" s="85"/>
      <c r="I39" s="85"/>
      <c r="J39" s="114"/>
      <c r="K39" s="87">
        <f t="shared" si="3"/>
        <v>0</v>
      </c>
      <c r="L39" s="88"/>
      <c r="M39" s="78"/>
      <c r="N39" s="79"/>
      <c r="O39" s="79"/>
      <c r="P39" s="79"/>
      <c r="Q39" s="80"/>
      <c r="R39" s="81"/>
      <c r="S39" s="1"/>
    </row>
    <row r="40" customHeight="1" spans="1:20">
      <c r="A40" s="97">
        <v>11.1</v>
      </c>
      <c r="B40" s="110" t="s">
        <v>63</v>
      </c>
      <c r="C40" s="111"/>
      <c r="D40" s="111"/>
      <c r="E40" s="111"/>
      <c r="F40" s="112"/>
      <c r="G40" s="92">
        <f>G24</f>
        <v>0</v>
      </c>
      <c r="H40" s="85" t="s">
        <v>41</v>
      </c>
      <c r="I40" s="85"/>
      <c r="J40" s="86">
        <v>1.75</v>
      </c>
      <c r="K40" s="87">
        <f t="shared" si="3"/>
        <v>0</v>
      </c>
      <c r="L40" s="88"/>
      <c r="M40" s="78"/>
      <c r="N40" s="79"/>
      <c r="O40" s="79"/>
      <c r="P40" s="79"/>
      <c r="Q40" s="80"/>
      <c r="R40" s="81"/>
      <c r="S40" s="1">
        <f>230000/30/30*(I41/8)</f>
        <v>0</v>
      </c>
    </row>
    <row r="41" ht="24" customHeight="1" spans="1:20">
      <c r="A41" s="97">
        <v>11.2</v>
      </c>
      <c r="B41" s="124" t="s">
        <v>64</v>
      </c>
      <c r="C41" s="125"/>
      <c r="D41" s="125"/>
      <c r="E41" s="125"/>
      <c r="F41" s="126"/>
      <c r="G41" s="118"/>
      <c r="H41" s="123" t="s">
        <v>65</v>
      </c>
      <c r="I41" s="127">
        <f>1/13.3*G41*3</f>
        <v>0</v>
      </c>
      <c r="J41" s="114">
        <v>9</v>
      </c>
      <c r="K41" s="87">
        <f t="shared" si="3"/>
        <v>0</v>
      </c>
      <c r="L41" s="88"/>
      <c r="M41" s="78" t="s">
        <v>66</v>
      </c>
      <c r="N41" s="79"/>
      <c r="O41" s="79"/>
      <c r="P41" s="79"/>
      <c r="Q41" s="80"/>
      <c r="R41" s="81"/>
      <c r="S41" s="1">
        <f>230000/30/30*(I42/8)</f>
        <v>0</v>
      </c>
    </row>
    <row r="42" spans="1:20">
      <c r="A42" s="97">
        <v>11.3</v>
      </c>
      <c r="B42" s="124" t="s">
        <v>67</v>
      </c>
      <c r="C42" s="125"/>
      <c r="D42" s="125"/>
      <c r="E42" s="125"/>
      <c r="F42" s="126"/>
      <c r="G42" s="118"/>
      <c r="H42" s="123" t="s">
        <v>65</v>
      </c>
      <c r="I42" s="127">
        <f>1/6.65*G42*3</f>
        <v>0</v>
      </c>
      <c r="J42" s="114">
        <v>11</v>
      </c>
      <c r="K42" s="87">
        <f t="shared" si="3"/>
        <v>0</v>
      </c>
      <c r="L42" s="88"/>
      <c r="M42" s="78" t="s">
        <v>68</v>
      </c>
      <c r="N42" s="79"/>
      <c r="O42" s="79"/>
      <c r="P42" s="79"/>
      <c r="Q42" s="80"/>
      <c r="R42" s="81"/>
      <c r="S42"/>
    </row>
    <row r="43" customFormat="1" customHeight="1" spans="1:20">
      <c r="A43" s="70">
        <v>12</v>
      </c>
      <c r="B43" s="82" t="s">
        <v>69</v>
      </c>
      <c r="C43" s="83"/>
      <c r="D43" s="83"/>
      <c r="E43" s="83"/>
      <c r="F43" s="109"/>
      <c r="G43" s="92">
        <v>0</v>
      </c>
      <c r="H43" s="85" t="s">
        <v>32</v>
      </c>
      <c r="I43" s="85"/>
      <c r="J43" s="86"/>
      <c r="K43" s="87">
        <f t="shared" si="3"/>
        <v>0</v>
      </c>
      <c r="L43" s="88"/>
      <c r="M43" s="78"/>
      <c r="N43" s="79"/>
      <c r="O43" s="79"/>
      <c r="P43" s="79"/>
      <c r="Q43" s="80"/>
      <c r="R43" s="81"/>
      <c r="S43" s="1"/>
    </row>
    <row r="44" customFormat="1" customHeight="1" spans="1:20">
      <c r="A44" s="70">
        <v>13</v>
      </c>
      <c r="B44" s="82" t="s">
        <v>70</v>
      </c>
      <c r="C44" s="83"/>
      <c r="D44" s="83"/>
      <c r="E44" s="83"/>
      <c r="F44" s="109"/>
      <c r="G44" s="92">
        <v>1</v>
      </c>
      <c r="H44" s="85" t="s">
        <v>32</v>
      </c>
      <c r="I44" s="85"/>
      <c r="J44" s="86">
        <v>3000</v>
      </c>
      <c r="K44" s="87">
        <f t="shared" si="3"/>
        <v>3000</v>
      </c>
      <c r="L44" s="88"/>
      <c r="M44" s="78"/>
      <c r="N44" s="79"/>
      <c r="O44" s="79"/>
      <c r="P44" s="79"/>
      <c r="Q44" s="80"/>
      <c r="R44" s="81"/>
      <c r="S44" s="1"/>
    </row>
    <row r="45" spans="1:20">
      <c r="A45" s="70">
        <v>14</v>
      </c>
      <c r="B45" s="82" t="s">
        <v>71</v>
      </c>
      <c r="C45" s="83"/>
      <c r="D45" s="83"/>
      <c r="E45" s="83"/>
      <c r="F45" s="109"/>
      <c r="G45" s="92">
        <v>1</v>
      </c>
      <c r="H45" s="85" t="s">
        <v>72</v>
      </c>
      <c r="I45" s="85"/>
      <c r="J45" s="86">
        <v>3000</v>
      </c>
      <c r="K45" s="87">
        <f t="shared" si="3"/>
        <v>3000</v>
      </c>
      <c r="L45" s="128"/>
      <c r="M45" s="78"/>
      <c r="N45" s="79"/>
      <c r="O45" s="79"/>
      <c r="P45" s="79"/>
      <c r="Q45" s="80"/>
      <c r="R45" s="81"/>
      <c r="S45"/>
    </row>
    <row r="46" spans="1:20">
      <c r="A46" s="70">
        <v>16</v>
      </c>
      <c r="B46" s="82" t="s">
        <v>73</v>
      </c>
      <c r="C46" s="83"/>
      <c r="D46" s="83"/>
      <c r="E46" s="83"/>
      <c r="F46" s="109"/>
      <c r="G46" s="92">
        <v>0</v>
      </c>
      <c r="H46" s="85" t="s">
        <v>32</v>
      </c>
      <c r="I46" s="85"/>
      <c r="J46" s="86"/>
      <c r="K46" s="87">
        <f t="shared" si="3"/>
        <v>0</v>
      </c>
      <c r="L46" s="88"/>
      <c r="M46" s="78"/>
      <c r="N46" s="79"/>
      <c r="O46" s="79"/>
      <c r="P46" s="79"/>
      <c r="Q46" s="80"/>
      <c r="R46" s="81"/>
      <c r="S46"/>
    </row>
    <row r="47" spans="1:20">
      <c r="A47" s="70">
        <v>17</v>
      </c>
      <c r="B47" s="82" t="s">
        <v>74</v>
      </c>
      <c r="C47" s="83"/>
      <c r="D47" s="83"/>
      <c r="E47" s="83"/>
      <c r="F47" s="109"/>
      <c r="G47" s="92">
        <v>0</v>
      </c>
      <c r="H47" s="85" t="s">
        <v>75</v>
      </c>
      <c r="I47" s="85"/>
      <c r="J47" s="86"/>
      <c r="K47" s="87">
        <f t="shared" si="3"/>
        <v>0</v>
      </c>
      <c r="L47" s="88"/>
      <c r="M47" s="78"/>
      <c r="N47" s="79"/>
      <c r="O47" s="79"/>
      <c r="P47" s="79"/>
      <c r="Q47" s="80"/>
      <c r="R47" s="81"/>
      <c r="S47"/>
    </row>
    <row r="48" spans="1:20">
      <c r="A48" s="70">
        <v>18</v>
      </c>
      <c r="B48" s="82" t="s">
        <v>76</v>
      </c>
      <c r="C48" s="83"/>
      <c r="D48" s="83"/>
      <c r="E48" s="83"/>
      <c r="F48" s="109"/>
      <c r="G48" s="92">
        <v>0</v>
      </c>
      <c r="H48" s="85" t="s">
        <v>32</v>
      </c>
      <c r="I48" s="85"/>
      <c r="J48" s="86"/>
      <c r="K48" s="87">
        <f t="shared" si="3"/>
        <v>0</v>
      </c>
      <c r="L48" s="88"/>
      <c r="M48" s="78"/>
      <c r="N48" s="79"/>
      <c r="O48" s="79"/>
      <c r="P48" s="79"/>
      <c r="Q48" s="80"/>
      <c r="R48" s="81"/>
      <c r="S48"/>
    </row>
    <row r="49" spans="1:20">
      <c r="A49" s="70">
        <v>20</v>
      </c>
      <c r="B49" s="82" t="s">
        <v>77</v>
      </c>
      <c r="C49" s="83"/>
      <c r="D49" s="83"/>
      <c r="E49" s="83"/>
      <c r="F49" s="109"/>
      <c r="G49" s="92">
        <v>0</v>
      </c>
      <c r="H49" s="85" t="s">
        <v>32</v>
      </c>
      <c r="I49" s="85"/>
      <c r="J49" s="86"/>
      <c r="K49" s="87">
        <f t="shared" si="3"/>
        <v>0</v>
      </c>
      <c r="L49" s="88"/>
      <c r="M49" s="78"/>
      <c r="N49" s="79"/>
      <c r="O49" s="79"/>
      <c r="P49" s="79"/>
      <c r="Q49" s="80"/>
      <c r="R49" s="81"/>
      <c r="S49"/>
    </row>
    <row r="50" spans="1:20">
      <c r="A50" s="70">
        <v>21</v>
      </c>
      <c r="B50" s="82" t="s">
        <v>78</v>
      </c>
      <c r="C50" s="83"/>
      <c r="D50" s="83"/>
      <c r="E50" s="83"/>
      <c r="F50" s="109"/>
      <c r="G50" s="92">
        <v>0</v>
      </c>
      <c r="H50" s="85" t="s">
        <v>32</v>
      </c>
      <c r="I50" s="85"/>
      <c r="J50" s="86"/>
      <c r="K50" s="87">
        <f t="shared" si="3"/>
        <v>0</v>
      </c>
      <c r="L50" s="88"/>
      <c r="M50" s="78"/>
      <c r="N50" s="79"/>
      <c r="O50" s="79"/>
      <c r="P50" s="79"/>
      <c r="Q50" s="80"/>
      <c r="R50" s="81"/>
      <c r="S50"/>
    </row>
    <row r="51" spans="1:20">
      <c r="A51" s="70">
        <v>22</v>
      </c>
      <c r="B51" s="82" t="s">
        <v>79</v>
      </c>
      <c r="C51" s="83"/>
      <c r="D51" s="83"/>
      <c r="E51" s="83"/>
      <c r="F51" s="109"/>
      <c r="G51" s="92">
        <v>0</v>
      </c>
      <c r="H51" s="85" t="s">
        <v>32</v>
      </c>
      <c r="I51" s="85"/>
      <c r="J51" s="86"/>
      <c r="K51" s="87">
        <f t="shared" si="3"/>
        <v>0</v>
      </c>
      <c r="L51" s="88"/>
      <c r="M51" s="78"/>
      <c r="N51" s="79"/>
      <c r="O51" s="79"/>
      <c r="P51" s="79"/>
      <c r="Q51" s="80"/>
      <c r="R51" s="81"/>
      <c r="S51"/>
    </row>
    <row r="52" spans="1:20">
      <c r="A52" s="70">
        <v>23</v>
      </c>
      <c r="B52" s="82" t="s">
        <v>80</v>
      </c>
      <c r="C52" s="83"/>
      <c r="D52" s="83"/>
      <c r="E52" s="83"/>
      <c r="F52" s="109"/>
      <c r="G52" s="92">
        <v>0</v>
      </c>
      <c r="H52" s="85" t="s">
        <v>32</v>
      </c>
      <c r="I52" s="85"/>
      <c r="J52" s="86"/>
      <c r="K52" s="87">
        <f t="shared" si="3"/>
        <v>0</v>
      </c>
      <c r="L52" s="88"/>
      <c r="M52" s="78"/>
      <c r="N52" s="79"/>
      <c r="O52" s="79"/>
      <c r="P52" s="79"/>
      <c r="Q52" s="80"/>
      <c r="R52" s="81"/>
      <c r="S52"/>
    </row>
    <row r="53" spans="1:20">
      <c r="A53" s="70">
        <v>24</v>
      </c>
      <c r="B53" s="82" t="s">
        <v>81</v>
      </c>
      <c r="C53" s="83"/>
      <c r="D53" s="83"/>
      <c r="E53" s="83"/>
      <c r="F53" s="109"/>
      <c r="G53" s="92">
        <v>0</v>
      </c>
      <c r="H53" s="85" t="s">
        <v>32</v>
      </c>
      <c r="I53" s="85"/>
      <c r="J53" s="86"/>
      <c r="K53" s="87">
        <f t="shared" si="3"/>
        <v>0</v>
      </c>
      <c r="L53" s="88"/>
      <c r="M53" s="78"/>
      <c r="N53" s="79"/>
      <c r="O53" s="79"/>
      <c r="P53" s="79"/>
      <c r="Q53" s="80"/>
      <c r="R53" s="81"/>
      <c r="S53"/>
    </row>
    <row r="54" ht="15.75" spans="1:20">
      <c r="A54" s="70">
        <v>25</v>
      </c>
      <c r="B54" s="129" t="s">
        <v>82</v>
      </c>
      <c r="C54" s="130"/>
      <c r="D54" s="130"/>
      <c r="E54" s="130"/>
      <c r="F54" s="131"/>
      <c r="G54" s="92">
        <v>0</v>
      </c>
      <c r="H54" s="85" t="s">
        <v>32</v>
      </c>
      <c r="I54" s="85"/>
      <c r="J54" s="86"/>
      <c r="K54" s="87">
        <f t="shared" si="3"/>
        <v>0</v>
      </c>
      <c r="L54" s="88"/>
      <c r="M54" s="78"/>
      <c r="N54" s="79"/>
      <c r="O54" s="79"/>
      <c r="P54" s="79"/>
      <c r="Q54" s="80"/>
      <c r="R54" s="81"/>
      <c r="S54"/>
    </row>
    <row r="55" ht="24.6" customHeight="1" spans="1:20">
      <c r="A55" s="70">
        <v>26</v>
      </c>
      <c r="B55" s="132" t="s">
        <v>83</v>
      </c>
      <c r="C55" s="133"/>
      <c r="D55" s="133"/>
      <c r="E55" s="133"/>
      <c r="F55" s="134"/>
      <c r="G55" s="92">
        <v>0</v>
      </c>
      <c r="H55" s="85" t="s">
        <v>32</v>
      </c>
      <c r="I55" s="85"/>
      <c r="J55" s="135"/>
      <c r="K55" s="136">
        <f t="shared" si="3"/>
        <v>0</v>
      </c>
      <c r="L55" s="128"/>
      <c r="M55" s="78"/>
      <c r="N55" s="79"/>
      <c r="O55" s="79"/>
      <c r="P55" s="79"/>
      <c r="Q55" s="80"/>
      <c r="R55" s="81"/>
      <c r="S55" s="1">
        <f>SUM(S15:S44)</f>
        <v>0</v>
      </c>
    </row>
    <row r="56" customFormat="1" ht="24.6" customHeight="1" spans="1:20">
      <c r="A56" s="137" t="s">
        <v>27</v>
      </c>
      <c r="B56" s="138"/>
      <c r="C56" s="138"/>
      <c r="D56" s="139">
        <f>SUM(K16:K55)</f>
        <v>6000</v>
      </c>
      <c r="E56" s="140"/>
      <c r="F56" s="141"/>
      <c r="G56" s="142" t="s">
        <v>84</v>
      </c>
      <c r="H56" s="142"/>
      <c r="I56" s="142"/>
      <c r="J56" s="14" t="s">
        <v>85</v>
      </c>
      <c r="K56" s="143"/>
      <c r="L56" s="19"/>
      <c r="M56" s="144" t="s">
        <v>86</v>
      </c>
      <c r="N56" s="145"/>
      <c r="O56" s="145"/>
      <c r="P56" s="146" t="s">
        <v>85</v>
      </c>
      <c r="Q56" s="144"/>
      <c r="R56" s="147"/>
      <c r="S56" s="1"/>
    </row>
    <row r="57" customFormat="1" ht="24.6" customHeight="1" spans="1:20">
      <c r="A57" s="148" t="s">
        <v>87</v>
      </c>
      <c r="B57" s="149"/>
      <c r="C57" s="149"/>
      <c r="D57" s="150">
        <f>S55</f>
        <v>0</v>
      </c>
      <c r="E57" s="151"/>
      <c r="F57" s="152"/>
      <c r="G57" s="153" t="s">
        <v>88</v>
      </c>
      <c r="H57" s="153"/>
      <c r="I57" s="153"/>
      <c r="J57" s="14" t="s">
        <v>89</v>
      </c>
      <c r="K57" s="143"/>
      <c r="L57" s="19"/>
      <c r="M57" s="153" t="s">
        <v>88</v>
      </c>
      <c r="N57" s="153"/>
      <c r="O57" s="153"/>
      <c r="P57" s="14" t="s">
        <v>89</v>
      </c>
      <c r="Q57" s="15"/>
      <c r="R57" s="19"/>
      <c r="S57" s="1"/>
    </row>
    <row r="58" customFormat="1" ht="24.6" customHeight="1" spans="1:20">
      <c r="A58" s="154" t="s">
        <v>90</v>
      </c>
      <c r="B58" s="155"/>
      <c r="C58" s="155"/>
      <c r="D58" s="156">
        <f>D56+D57</f>
        <v>6000</v>
      </c>
      <c r="E58" s="157"/>
      <c r="F58" s="158"/>
      <c r="G58" s="159"/>
      <c r="H58" s="159"/>
      <c r="I58" s="159"/>
      <c r="J58" s="14"/>
      <c r="K58" s="143"/>
      <c r="L58" s="19"/>
      <c r="M58" s="160" t="s">
        <v>91</v>
      </c>
      <c r="N58" s="153"/>
      <c r="O58" s="161"/>
      <c r="P58" s="14" t="s">
        <v>92</v>
      </c>
      <c r="Q58" s="15"/>
      <c r="R58" s="19"/>
      <c r="S58" s="1"/>
    </row>
    <row r="59" s="1" customFormat="1" ht="15.75" spans="1:20">
      <c r="A59" s="154" t="s">
        <v>93</v>
      </c>
      <c r="B59" s="155"/>
      <c r="C59" s="155"/>
      <c r="D59" s="156">
        <v>145000</v>
      </c>
      <c r="E59" s="157"/>
      <c r="F59" s="158"/>
      <c r="G59" s="159"/>
      <c r="H59" s="159"/>
      <c r="I59" s="159"/>
      <c r="J59" s="14"/>
      <c r="K59" s="143"/>
      <c r="L59" s="19"/>
      <c r="M59" s="14"/>
      <c r="N59" s="15"/>
      <c r="O59" s="19"/>
      <c r="P59" s="162"/>
      <c r="Q59" s="163"/>
      <c r="R59" s="164"/>
      <c r="T59"/>
    </row>
    <row r="60" s="1" customFormat="1" ht="15.75" spans="1:20">
      <c r="A60" s="154" t="s">
        <v>94</v>
      </c>
      <c r="B60" s="155"/>
      <c r="C60" s="155"/>
      <c r="D60" s="156">
        <f>+D59-D58</f>
        <v>139000</v>
      </c>
      <c r="E60" s="157"/>
      <c r="F60" s="158"/>
      <c r="G60"/>
      <c r="H60"/>
      <c r="I60"/>
      <c r="J60"/>
      <c r="K60" s="165"/>
      <c r="L60"/>
      <c r="M60"/>
      <c r="N60"/>
      <c r="O60"/>
      <c r="P60"/>
      <c r="Q60"/>
      <c r="R60"/>
      <c r="T60"/>
    </row>
    <row r="61" s="1" customFormat="1" spans="1:20">
      <c r="A61" s="166"/>
      <c r="B61" s="166"/>
      <c r="C61"/>
      <c r="E61"/>
      <c r="F61"/>
      <c r="G61"/>
      <c r="H61"/>
      <c r="I61"/>
      <c r="J61"/>
      <c r="K61" s="165"/>
      <c r="L61"/>
      <c r="M61"/>
      <c r="N61"/>
      <c r="O61"/>
      <c r="P61"/>
      <c r="Q61"/>
      <c r="R61"/>
      <c r="T61"/>
    </row>
    <row r="62" s="1" customFormat="1" spans="1:20">
      <c r="A62"/>
      <c r="B62"/>
      <c r="C62"/>
      <c r="D62" s="1"/>
      <c r="E62"/>
      <c r="F62" s="167">
        <f>D60/D59</f>
        <v>0.958620689655172</v>
      </c>
      <c r="G62"/>
      <c r="H62"/>
      <c r="I62"/>
      <c r="J62"/>
      <c r="K62" s="165"/>
      <c r="L62"/>
      <c r="M62"/>
      <c r="N62"/>
      <c r="O62"/>
      <c r="P62"/>
      <c r="Q62"/>
      <c r="R62"/>
      <c r="T62"/>
    </row>
    <row r="63" s="1" customFormat="1" ht="15.75" spans="1:20">
      <c r="A63" s="168"/>
      <c r="B63" s="122">
        <f>D59-D56</f>
        <v>139000</v>
      </c>
      <c r="C63"/>
      <c r="D63" s="122"/>
      <c r="E63"/>
      <c r="F63" s="169"/>
      <c r="G63"/>
      <c r="H63" s="122"/>
      <c r="I63"/>
      <c r="J63"/>
      <c r="K63" s="165"/>
      <c r="L63"/>
      <c r="M63"/>
      <c r="N63"/>
      <c r="O63"/>
      <c r="P63"/>
      <c r="Q63"/>
      <c r="R63"/>
      <c r="T63"/>
    </row>
    <row r="64" s="1" customFormat="1" spans="1:20">
      <c r="A64" s="170"/>
      <c r="B64"/>
      <c r="C64"/>
      <c r="D64"/>
      <c r="E64"/>
      <c r="F64"/>
      <c r="G64"/>
      <c r="H64"/>
      <c r="I64"/>
      <c r="J64"/>
      <c r="K64" s="165"/>
      <c r="L64"/>
      <c r="M64"/>
      <c r="N64"/>
      <c r="O64"/>
      <c r="P64"/>
      <c r="Q64"/>
      <c r="R64"/>
      <c r="T64"/>
    </row>
    <row r="65" s="1" customFormat="1" spans="1:20">
      <c r="A65" s="170"/>
      <c r="B65"/>
      <c r="C65"/>
      <c r="D65"/>
      <c r="E65"/>
      <c r="F65"/>
      <c r="G65"/>
      <c r="H65"/>
      <c r="I65"/>
      <c r="J65"/>
      <c r="K65" s="165"/>
      <c r="L65"/>
      <c r="M65"/>
      <c r="N65"/>
      <c r="O65"/>
      <c r="P65"/>
      <c r="Q65"/>
      <c r="R65"/>
      <c r="T65"/>
    </row>
    <row r="66" customFormat="1" spans="1:20">
      <c r="K66" s="165"/>
      <c r="S66" s="1"/>
    </row>
    <row r="67" customFormat="1" spans="1:20">
      <c r="K67" s="165"/>
      <c r="S67" s="1"/>
    </row>
    <row r="68" customFormat="1" spans="1:20">
      <c r="K68" s="142"/>
      <c r="S68" s="1"/>
    </row>
    <row r="69" customFormat="1" spans="1:20">
      <c r="K69" s="142"/>
      <c r="S69" s="1"/>
    </row>
    <row r="70" customFormat="1" spans="1:20">
      <c r="K70" s="142"/>
      <c r="L70"/>
      <c r="M70"/>
      <c r="N70"/>
      <c r="O70"/>
      <c r="P70"/>
      <c r="Q70"/>
      <c r="R70"/>
      <c r="S70" s="1"/>
    </row>
    <row r="71" s="1" customFormat="1" spans="1:20">
      <c r="A71"/>
      <c r="B71"/>
      <c r="C71"/>
      <c r="D71"/>
      <c r="E71"/>
      <c r="F71"/>
      <c r="G71"/>
      <c r="H71"/>
      <c r="I71"/>
      <c r="J71"/>
      <c r="K71" s="142"/>
      <c r="L71" s="171"/>
      <c r="M71"/>
      <c r="N71"/>
      <c r="O71"/>
      <c r="P71"/>
      <c r="Q71"/>
      <c r="R71"/>
      <c r="T71"/>
    </row>
    <row r="72" s="1" customFormat="1" spans="1:20">
      <c r="A72"/>
      <c r="B72"/>
      <c r="C72"/>
      <c r="D72"/>
      <c r="E72"/>
      <c r="F72"/>
      <c r="G72"/>
      <c r="H72"/>
      <c r="I72"/>
      <c r="J72"/>
      <c r="K72"/>
      <c r="L72" s="171"/>
      <c r="M72"/>
      <c r="N72"/>
      <c r="O72"/>
      <c r="P72"/>
      <c r="Q72"/>
      <c r="R72"/>
      <c r="T72"/>
    </row>
  </sheetData>
  <mergeCells count="139">
    <mergeCell ref="A1:R1"/>
    <mergeCell ref="E2:M2"/>
    <mergeCell ref="A3:R3"/>
    <mergeCell ref="A4:B4"/>
    <mergeCell ref="C4:D4"/>
    <mergeCell ref="E4:F4"/>
    <mergeCell ref="G4:L4"/>
    <mergeCell ref="M4:N4"/>
    <mergeCell ref="O4:R4"/>
    <mergeCell ref="A5:B5"/>
    <mergeCell ref="C5:D5"/>
    <mergeCell ref="E5:F5"/>
    <mergeCell ref="G5:L5"/>
    <mergeCell ref="M5:N5"/>
    <mergeCell ref="O5:R5"/>
    <mergeCell ref="A6:B6"/>
    <mergeCell ref="C6:D6"/>
    <mergeCell ref="E6:F6"/>
    <mergeCell ref="G6:L6"/>
    <mergeCell ref="M6:N6"/>
    <mergeCell ref="O6:R6"/>
    <mergeCell ref="A7:B7"/>
    <mergeCell ref="E7:F7"/>
    <mergeCell ref="G7:H7"/>
    <mergeCell ref="J7:L7"/>
    <mergeCell ref="M7:N7"/>
    <mergeCell ref="O7:P7"/>
    <mergeCell ref="Q7:R7"/>
    <mergeCell ref="A8:D8"/>
    <mergeCell ref="E8:F8"/>
    <mergeCell ref="G8:L8"/>
    <mergeCell ref="M8:N8"/>
    <mergeCell ref="O8:R8"/>
    <mergeCell ref="A9:B9"/>
    <mergeCell ref="C9:D9"/>
    <mergeCell ref="E9:F9"/>
    <mergeCell ref="G9:L9"/>
    <mergeCell ref="M9:N9"/>
    <mergeCell ref="O9:R9"/>
    <mergeCell ref="A10:B10"/>
    <mergeCell ref="C10:D10"/>
    <mergeCell ref="E10:F10"/>
    <mergeCell ref="G10:L10"/>
    <mergeCell ref="M10:N10"/>
    <mergeCell ref="O10:R10"/>
    <mergeCell ref="A11:B11"/>
    <mergeCell ref="C11:D11"/>
    <mergeCell ref="E11:F11"/>
    <mergeCell ref="G11:L11"/>
    <mergeCell ref="M11:N11"/>
    <mergeCell ref="O11:R11"/>
    <mergeCell ref="A12:B12"/>
    <mergeCell ref="C12:D12"/>
    <mergeCell ref="E12:F12"/>
    <mergeCell ref="G12:L12"/>
    <mergeCell ref="M12:N12"/>
    <mergeCell ref="O12:R12"/>
    <mergeCell ref="A13:F13"/>
    <mergeCell ref="G13:L13"/>
    <mergeCell ref="M13:R13"/>
    <mergeCell ref="B14:F14"/>
    <mergeCell ref="Q14:R14"/>
    <mergeCell ref="B15:F15"/>
    <mergeCell ref="Q15:R15"/>
    <mergeCell ref="B16:F16"/>
    <mergeCell ref="Q16:R16"/>
    <mergeCell ref="B17:F17"/>
    <mergeCell ref="Q17:R17"/>
    <mergeCell ref="B18:F18"/>
    <mergeCell ref="Q18:R18"/>
    <mergeCell ref="B19:F19"/>
    <mergeCell ref="Q19:R19"/>
    <mergeCell ref="B20:F20"/>
    <mergeCell ref="Q20:R20"/>
    <mergeCell ref="B21:F21"/>
    <mergeCell ref="Q21:R21"/>
    <mergeCell ref="B22:F22"/>
    <mergeCell ref="Q22:R22"/>
    <mergeCell ref="B23:F23"/>
    <mergeCell ref="Q23:R23"/>
    <mergeCell ref="B26:F26"/>
    <mergeCell ref="B27:F27"/>
    <mergeCell ref="Q27:R27"/>
    <mergeCell ref="B29:F29"/>
    <mergeCell ref="B30:F30"/>
    <mergeCell ref="B31:F31"/>
    <mergeCell ref="B32:F32"/>
    <mergeCell ref="B33:F33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Q43:R43"/>
    <mergeCell ref="B44:F44"/>
    <mergeCell ref="B45:F45"/>
    <mergeCell ref="B47:F47"/>
    <mergeCell ref="Q47:R47"/>
    <mergeCell ref="B48:F48"/>
    <mergeCell ref="Q48:R48"/>
    <mergeCell ref="B49:F49"/>
    <mergeCell ref="Q49:R49"/>
    <mergeCell ref="B50:F50"/>
    <mergeCell ref="Q50:R50"/>
    <mergeCell ref="B51:F51"/>
    <mergeCell ref="Q51:R51"/>
    <mergeCell ref="B52:F52"/>
    <mergeCell ref="Q52:R52"/>
    <mergeCell ref="B53:F53"/>
    <mergeCell ref="Q53:R53"/>
    <mergeCell ref="B54:F54"/>
    <mergeCell ref="Q54:R54"/>
    <mergeCell ref="B55:F55"/>
    <mergeCell ref="Q55:R55"/>
    <mergeCell ref="A56:C56"/>
    <mergeCell ref="D56:F56"/>
    <mergeCell ref="G56:H56"/>
    <mergeCell ref="M56:O56"/>
    <mergeCell ref="P56:R56"/>
    <mergeCell ref="A57:C57"/>
    <mergeCell ref="D57:F57"/>
    <mergeCell ref="G57:H57"/>
    <mergeCell ref="M57:O57"/>
    <mergeCell ref="P57:R57"/>
    <mergeCell ref="A58:C58"/>
    <mergeCell ref="D58:F58"/>
    <mergeCell ref="M58:O58"/>
    <mergeCell ref="P58:R58"/>
    <mergeCell ref="A59:C59"/>
    <mergeCell ref="D59:F59"/>
    <mergeCell ref="G59:H59"/>
    <mergeCell ref="M59:O59"/>
    <mergeCell ref="P59:R59"/>
    <mergeCell ref="A60:C60"/>
    <mergeCell ref="D60:F60"/>
  </mergeCells>
  <printOptions horizontalCentered="1"/>
  <pageMargins left="0.05" right="0" top="0.5" bottom="0.05" header="0" footer="0"/>
  <pageSetup paperSize="9" scale="5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142676- Structure Frame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Dubey</dc:creator>
  <cp:lastModifiedBy>Bhatia</cp:lastModifiedBy>
  <dcterms:created xsi:type="dcterms:W3CDTF">2025-02-01T13:22:00Z</dcterms:created>
  <dcterms:modified xsi:type="dcterms:W3CDTF">2026-06-29T07:24:02Z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978083E98D4544E787338AA8DE713A45_12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